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jafarian\Desktop\"/>
    </mc:Choice>
  </mc:AlternateContent>
  <xr:revisionPtr revIDLastSave="0" documentId="8_{22689C7D-725C-43EC-8E49-B145A3BB9FD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PRIL 2026" sheetId="1" r:id="rId1"/>
  </sheets>
  <definedNames>
    <definedName name="_xlnm._FilterDatabase" localSheetId="0" hidden="1">'APRIL 2026'!$A$2:$AC$48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/>
</calcChain>
</file>

<file path=xl/sharedStrings.xml><?xml version="1.0" encoding="utf-8"?>
<sst xmlns="http://schemas.openxmlformats.org/spreadsheetml/2006/main" count="392" uniqueCount="173">
  <si>
    <t>UOM</t>
  </si>
  <si>
    <t>RCP0005530</t>
  </si>
  <si>
    <t>KCH - KUWAIT CHEMICAL HOUSE</t>
  </si>
  <si>
    <t>911</t>
  </si>
  <si>
    <t>CHEM-0031</t>
  </si>
  <si>
    <t>MS-101, BG2040, BUTYL GLYCOL</t>
  </si>
  <si>
    <t>MUTUAL SOLVENT</t>
  </si>
  <si>
    <t>GAL</t>
  </si>
  <si>
    <t>CHEM-0012</t>
  </si>
  <si>
    <t>CITRIC ACID, EDTA 4-NA</t>
  </si>
  <si>
    <t>EDTA 4-NA, CITRIC ACID</t>
  </si>
  <si>
    <t>LBS</t>
  </si>
  <si>
    <t>CHEM-0040</t>
  </si>
  <si>
    <t>FA-100</t>
  </si>
  <si>
    <t>CORROSION INHIBITOR AID</t>
  </si>
  <si>
    <t>RCP0005531</t>
  </si>
  <si>
    <t>CHEM-0026</t>
  </si>
  <si>
    <t>TOLUENE, TN002</t>
  </si>
  <si>
    <t>TN002, TOLUENE</t>
  </si>
  <si>
    <t>RCP0005532</t>
  </si>
  <si>
    <t>RCP0005533</t>
  </si>
  <si>
    <t>RCP0005534</t>
  </si>
  <si>
    <t>QUART - QUART ENERGY SERVICES LTD</t>
  </si>
  <si>
    <t>CTUB-0888</t>
  </si>
  <si>
    <t>P60-30-848</t>
  </si>
  <si>
    <t>P60-30-848, SEAL, DEFLECTOR SCRAPER 3"</t>
  </si>
  <si>
    <t>EA</t>
  </si>
  <si>
    <t>CTUB-0873</t>
  </si>
  <si>
    <t>P60-30-601</t>
  </si>
  <si>
    <t>P60-30-601, INSERT VALVE 3"</t>
  </si>
  <si>
    <t>CTUB-1060</t>
  </si>
  <si>
    <t>7000000457</t>
  </si>
  <si>
    <t>7000000457, D-RING</t>
  </si>
  <si>
    <t>CTUB-1061</t>
  </si>
  <si>
    <t>7000000456</t>
  </si>
  <si>
    <t>7000000456, D-RING</t>
  </si>
  <si>
    <t>CTUB-1062</t>
  </si>
  <si>
    <t>P902503000</t>
  </si>
  <si>
    <t>P902503000, PACKING, SPS, HEADER RING</t>
  </si>
  <si>
    <t>CTUB-1063</t>
  </si>
  <si>
    <t>P903503000</t>
  </si>
  <si>
    <t>P903503000, PACKING, SPS, VD RING</t>
  </si>
  <si>
    <t>CTUB-1064</t>
  </si>
  <si>
    <t>P904503000</t>
  </si>
  <si>
    <t>P904503000, PACKING, SPS, FEMALE ADAPTER</t>
  </si>
  <si>
    <t>CTUB-1065</t>
  </si>
  <si>
    <t>P906503000</t>
  </si>
  <si>
    <t>P906503000, PACKING, SPS, OL SEAL</t>
  </si>
  <si>
    <t>CTUB-1066</t>
  </si>
  <si>
    <t>P60-30-602</t>
  </si>
  <si>
    <t>P60-30-602, VALVE BODY (2 3/4"-3")</t>
  </si>
  <si>
    <t>CTUB-0889</t>
  </si>
  <si>
    <t>P60-30-818</t>
  </si>
  <si>
    <t>P60-30-818, DIAPHRAGM OIL SEAL,3"X4.003"X0.375"</t>
  </si>
  <si>
    <t>RCP0005535</t>
  </si>
  <si>
    <t>STURROCK - STURROCK AND ROBSON USA SERVICES , INC. DBA/SIGMAHLR</t>
  </si>
  <si>
    <t>904</t>
  </si>
  <si>
    <t>FITG-1992</t>
  </si>
  <si>
    <t>ESD-16R43</t>
  </si>
  <si>
    <t>ESD-16R43-KNOB RED</t>
  </si>
  <si>
    <t>FITG-1993</t>
  </si>
  <si>
    <t>16RS36-RK</t>
  </si>
  <si>
    <t>16RS36-RK, REPAIR KIT</t>
  </si>
  <si>
    <t>KIT</t>
  </si>
  <si>
    <t>RCP0005536</t>
  </si>
  <si>
    <t>SOUTHFIELD - SOUTHFIELD GENERAL TRADING COMPANY</t>
  </si>
  <si>
    <t>CHEM-0024</t>
  </si>
  <si>
    <t>HYDROCHLORIC ACID 32% HCL</t>
  </si>
  <si>
    <t>RCP0005539</t>
  </si>
  <si>
    <t>ARWA - ARWA GULF GEN. TRAD. &amp; CONT. CO.W.L.L</t>
  </si>
  <si>
    <t>602</t>
  </si>
  <si>
    <t>CONS-0360</t>
  </si>
  <si>
    <t>CARTON=20 X 330ML</t>
  </si>
  <si>
    <t>BOTTLED WATER (CARTON=20 X 330ML</t>
  </si>
  <si>
    <t>CTN</t>
  </si>
  <si>
    <t>RCP0005540</t>
  </si>
  <si>
    <t>RCP0005541</t>
  </si>
  <si>
    <t>RCP0005542</t>
  </si>
  <si>
    <t>RCP0005543</t>
  </si>
  <si>
    <t>KUWAIT DANA - KUWAIT DANA LUBES COMPANY</t>
  </si>
  <si>
    <t>923</t>
  </si>
  <si>
    <t>LUBR-0047</t>
  </si>
  <si>
    <t>15 W-40</t>
  </si>
  <si>
    <t>15 W-40 ENGINE OIL</t>
  </si>
  <si>
    <t>DRM</t>
  </si>
  <si>
    <t>LUBR-0039</t>
  </si>
  <si>
    <t>HYDRAULIC OIL 46(208L)</t>
  </si>
  <si>
    <t>LUBR-0049</t>
  </si>
  <si>
    <t>AUTO</t>
  </si>
  <si>
    <t>AUTOMATIC TRANSMISSION FLUID</t>
  </si>
  <si>
    <t>LUBR-0051</t>
  </si>
  <si>
    <t>GEAR OIL 320</t>
  </si>
  <si>
    <t>RCP0005544</t>
  </si>
  <si>
    <t>SHANGHAI SHE - SHANGHAI SHENKAI PETROLEUM SCIENCE &amp; TECHNOLOGY CO.LTD</t>
  </si>
  <si>
    <t>MECH-1750</t>
  </si>
  <si>
    <t>HOOK LOAD PRESSURE SENSOR MODULE:SK-8Y91B,6MP</t>
  </si>
  <si>
    <t>RCP0005545</t>
  </si>
  <si>
    <t>GD ENERGY FZ - GD ENERGY FZE</t>
  </si>
  <si>
    <t>CTUB-0754</t>
  </si>
  <si>
    <t>18814</t>
  </si>
  <si>
    <t>18814, VOLUTE</t>
  </si>
  <si>
    <t>CTUB-0755</t>
  </si>
  <si>
    <t>18823</t>
  </si>
  <si>
    <t>18823, CW IMPELLER</t>
  </si>
  <si>
    <t>CTUB-0756</t>
  </si>
  <si>
    <t>18824</t>
  </si>
  <si>
    <t>18824, CCW IMPELLER</t>
  </si>
  <si>
    <t>CTUB-0752</t>
  </si>
  <si>
    <t>25BC423</t>
  </si>
  <si>
    <t>25BC423, O-RING</t>
  </si>
  <si>
    <t>CTUB-0758</t>
  </si>
  <si>
    <t>25BC347</t>
  </si>
  <si>
    <t>25BC347, O-RING</t>
  </si>
  <si>
    <t>CTUB-0751</t>
  </si>
  <si>
    <t>25BC205</t>
  </si>
  <si>
    <t>25BC205, O-RING</t>
  </si>
  <si>
    <t>CTUB-0743</t>
  </si>
  <si>
    <t>18826</t>
  </si>
  <si>
    <t>18826, IMPELLER SHAFT, SPLINED</t>
  </si>
  <si>
    <t>CTUB-0740</t>
  </si>
  <si>
    <t>18838-T</t>
  </si>
  <si>
    <t>18838-T, IMPELLER LOCK</t>
  </si>
  <si>
    <t>CTUB-1009</t>
  </si>
  <si>
    <t>23136</t>
  </si>
  <si>
    <t>23136, BEARING LOCK WASHER</t>
  </si>
  <si>
    <t>CTUB-1013</t>
  </si>
  <si>
    <t>89702</t>
  </si>
  <si>
    <t>89702, BEARING LOCK NUT</t>
  </si>
  <si>
    <t>CTUB-0741</t>
  </si>
  <si>
    <t>18835-T</t>
  </si>
  <si>
    <t>18835-T, STUFFING BOX</t>
  </si>
  <si>
    <t>RCP0005546</t>
  </si>
  <si>
    <t>AL MUTAWA - ALMUTAWA &amp; SAHNI CO.</t>
  </si>
  <si>
    <t>TIRE-0050</t>
  </si>
  <si>
    <t>14.00R20</t>
  </si>
  <si>
    <t>14.00R20 TIRE, SEPRATOR TRAILER</t>
  </si>
  <si>
    <t>CONS-0697</t>
  </si>
  <si>
    <t>14.00R20 TUBE</t>
  </si>
  <si>
    <t>CONS-0698</t>
  </si>
  <si>
    <t>14.00 R 20</t>
  </si>
  <si>
    <t>1400 R 20 PROTECTOR</t>
  </si>
  <si>
    <t>DEPARTMENT</t>
  </si>
  <si>
    <t>COIL TUBE</t>
  </si>
  <si>
    <t>KHAFJI</t>
  </si>
  <si>
    <t>WELL TEST</t>
  </si>
  <si>
    <t>DRILLING</t>
  </si>
  <si>
    <t xml:space="preserve">TOTAL: </t>
  </si>
  <si>
    <t>SLK</t>
  </si>
  <si>
    <t>IT</t>
  </si>
  <si>
    <t>MNT</t>
  </si>
  <si>
    <t xml:space="preserve">HSE </t>
  </si>
  <si>
    <t xml:space="preserve">WELL TEST </t>
  </si>
  <si>
    <t>WIRELINE</t>
  </si>
  <si>
    <t>PCP</t>
  </si>
  <si>
    <t>HR</t>
  </si>
  <si>
    <t>PROCUREMNT</t>
  </si>
  <si>
    <t>SULPHER TRNSP.</t>
  </si>
  <si>
    <t>STORE</t>
  </si>
  <si>
    <t>MANAGEMENT</t>
  </si>
  <si>
    <t>TOTAL:</t>
  </si>
  <si>
    <t>S.NO.</t>
  </si>
  <si>
    <t>RCP NUMBER</t>
  </si>
  <si>
    <t>ITEM CODE</t>
  </si>
  <si>
    <t>VENDOR NAME</t>
  </si>
  <si>
    <t>ITEM DESCRIPTION</t>
  </si>
  <si>
    <t>PART NUMBER</t>
  </si>
  <si>
    <t>QTY.</t>
  </si>
  <si>
    <t>LOCATION</t>
  </si>
  <si>
    <t>DATE</t>
  </si>
  <si>
    <t>UNIT COST</t>
  </si>
  <si>
    <t>DISCOUNT</t>
  </si>
  <si>
    <t>TOTAL COST</t>
  </si>
  <si>
    <t>GOFSCO ALL DEPTS. RECEIPT VOUCHERS (MRV) ITEMS MONTH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</si>
</sst>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0&quot;"/>
    <numFmt numFmtId="165" formatCode="0;[Red]0"/>
    <numFmt numFmtId="166" formatCode="0.000;[Red]0.000"/>
  </numFmts>
  <fonts count="9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166" fontId="0" fillId="0" borderId="1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center" vertical="top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/>
    </xf>
    <xf numFmtId="166" fontId="0" fillId="0" borderId="3" xfId="0" applyNumberFormat="1" applyBorder="1" applyAlignment="1">
      <alignment horizontal="right" vertical="top"/>
    </xf>
    <xf numFmtId="166" fontId="0" fillId="0" borderId="4" xfId="0" applyNumberFormat="1" applyBorder="1" applyAlignment="1">
      <alignment horizontal="right" vertical="top"/>
    </xf>
    <xf numFmtId="1" fontId="0" fillId="0" borderId="5" xfId="0" applyNumberFormat="1" applyBorder="1" applyAlignment="1">
      <alignment horizontal="center" vertical="top"/>
    </xf>
    <xf numFmtId="166" fontId="0" fillId="0" borderId="6" xfId="0" applyNumberFormat="1" applyBorder="1" applyAlignment="1">
      <alignment horizontal="right" vertical="top"/>
    </xf>
    <xf numFmtId="1" fontId="0" fillId="0" borderId="7" xfId="0" applyNumberFormat="1" applyBorder="1" applyAlignment="1">
      <alignment horizontal="center" vertical="top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14" fontId="0" fillId="0" borderId="8" xfId="0" applyNumberFormat="1" applyBorder="1" applyAlignment="1">
      <alignment horizontal="center" vertical="top"/>
    </xf>
    <xf numFmtId="166" fontId="0" fillId="0" borderId="8" xfId="0" applyNumberFormat="1" applyBorder="1" applyAlignment="1">
      <alignment horizontal="right" vertical="top"/>
    </xf>
    <xf numFmtId="166" fontId="0" fillId="0" borderId="9" xfId="0" applyNumberFormat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center"/>
    </xf>
    <xf numFmtId="164" fontId="2" fillId="2" borderId="11" xfId="0" applyNumberFormat="1" applyFont="1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>
      <alignment horizontal="center" vertical="center"/>
    </xf>
    <xf numFmtId="166" fontId="8" fillId="2" borderId="14" xfId="0" applyNumberFormat="1" applyFont="1" applyFill="1" applyBorder="1" applyAlignment="1">
      <alignment horizontal="center" vertical="center"/>
    </xf>
    <xf numFmtId="166" fontId="8" fillId="2" borderId="15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66"/>
  <sheetViews>
    <sheetView tabSelected="1" workbookViewId="0">
      <pane ySplit="2" topLeftCell="A21" activePane="bottomLeft" state="frozen"/>
      <selection pane="bottomLeft" activeCell="E28" sqref="E28"/>
    </sheetView>
  </sheetViews>
  <sheetFormatPr defaultColWidth="10" defaultRowHeight="17.100000000000001" customHeight="1" x14ac:dyDescent="0.2"/>
  <cols>
    <col min="1" max="1" width="6.28515625" style="1" bestFit="1" customWidth="1"/>
    <col min="2" max="2" width="14.42578125" style="1" bestFit="1" customWidth="1"/>
    <col min="3" max="3" width="13.140625" style="1" customWidth="1"/>
    <col min="4" max="4" width="48.28515625" style="1" customWidth="1"/>
    <col min="5" max="5" width="40.5703125" style="1" customWidth="1"/>
    <col min="6" max="6" width="32.28515625" style="1" customWidth="1"/>
    <col min="7" max="7" width="11" style="3" customWidth="1"/>
    <col min="8" max="8" width="7.7109375" style="1" customWidth="1"/>
    <col min="9" max="9" width="16.7109375" style="1" customWidth="1"/>
    <col min="10" max="10" width="12.42578125" style="1" customWidth="1"/>
    <col min="11" max="11" width="10.140625" style="1" bestFit="1" customWidth="1"/>
    <col min="12" max="12" width="14.7109375" style="4" customWidth="1"/>
    <col min="13" max="13" width="15.28515625" style="4" customWidth="1"/>
    <col min="14" max="14" width="16.7109375" style="4" customWidth="1"/>
    <col min="15" max="15" width="2" style="1" bestFit="1" customWidth="1"/>
    <col min="16" max="16384" width="10" style="1"/>
  </cols>
  <sheetData>
    <row r="1" spans="1:14" ht="27.75" customHeight="1" thickBot="1" x14ac:dyDescent="0.25">
      <c r="A1" s="40" t="s">
        <v>172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ht="17.100000000000001" customHeight="1" thickBot="1" x14ac:dyDescent="0.25">
      <c r="A2" s="34" t="s">
        <v>160</v>
      </c>
      <c r="B2" s="35" t="s">
        <v>161</v>
      </c>
      <c r="C2" s="36" t="s">
        <v>162</v>
      </c>
      <c r="D2" s="36" t="s">
        <v>163</v>
      </c>
      <c r="E2" s="36" t="s">
        <v>164</v>
      </c>
      <c r="F2" s="36" t="s">
        <v>165</v>
      </c>
      <c r="G2" s="37" t="s">
        <v>166</v>
      </c>
      <c r="H2" s="37" t="s">
        <v>0</v>
      </c>
      <c r="I2" s="37" t="s">
        <v>141</v>
      </c>
      <c r="J2" s="36" t="s">
        <v>167</v>
      </c>
      <c r="K2" s="36" t="s">
        <v>168</v>
      </c>
      <c r="L2" s="38" t="s">
        <v>169</v>
      </c>
      <c r="M2" s="39" t="s">
        <v>170</v>
      </c>
      <c r="N2" s="39" t="s">
        <v>171</v>
      </c>
    </row>
    <row r="3" spans="1:14" ht="17.100000000000001" customHeight="1" x14ac:dyDescent="0.2">
      <c r="A3" s="10">
        <v>1</v>
      </c>
      <c r="B3" s="11" t="s">
        <v>1</v>
      </c>
      <c r="C3" s="11" t="s">
        <v>4</v>
      </c>
      <c r="D3" s="11" t="s">
        <v>2</v>
      </c>
      <c r="E3" s="11" t="s">
        <v>6</v>
      </c>
      <c r="F3" s="11" t="s">
        <v>5</v>
      </c>
      <c r="G3" s="12">
        <v>5500</v>
      </c>
      <c r="H3" s="11" t="s">
        <v>7</v>
      </c>
      <c r="I3" s="13" t="s">
        <v>142</v>
      </c>
      <c r="J3" s="11" t="s">
        <v>3</v>
      </c>
      <c r="K3" s="14">
        <v>46118</v>
      </c>
      <c r="L3" s="15">
        <v>0.9</v>
      </c>
      <c r="M3" s="15">
        <v>0</v>
      </c>
      <c r="N3" s="16">
        <v>4950</v>
      </c>
    </row>
    <row r="4" spans="1:14" ht="17.100000000000001" customHeight="1" x14ac:dyDescent="0.2">
      <c r="A4" s="17">
        <v>2</v>
      </c>
      <c r="B4" s="5" t="s">
        <v>1</v>
      </c>
      <c r="C4" s="5" t="s">
        <v>8</v>
      </c>
      <c r="D4" s="5" t="s">
        <v>2</v>
      </c>
      <c r="E4" s="5" t="s">
        <v>10</v>
      </c>
      <c r="F4" s="5" t="s">
        <v>9</v>
      </c>
      <c r="G4" s="6">
        <v>11000</v>
      </c>
      <c r="H4" s="5" t="s">
        <v>11</v>
      </c>
      <c r="I4" s="7" t="s">
        <v>142</v>
      </c>
      <c r="J4" s="5" t="s">
        <v>3</v>
      </c>
      <c r="K4" s="8">
        <v>46118</v>
      </c>
      <c r="L4" s="9">
        <v>0.14499999999999999</v>
      </c>
      <c r="M4" s="9">
        <v>0</v>
      </c>
      <c r="N4" s="18">
        <v>1595</v>
      </c>
    </row>
    <row r="5" spans="1:14" ht="17.100000000000001" customHeight="1" x14ac:dyDescent="0.2">
      <c r="A5" s="17">
        <v>3</v>
      </c>
      <c r="B5" s="5" t="s">
        <v>1</v>
      </c>
      <c r="C5" s="5" t="s">
        <v>12</v>
      </c>
      <c r="D5" s="5" t="s">
        <v>2</v>
      </c>
      <c r="E5" s="5" t="s">
        <v>14</v>
      </c>
      <c r="F5" s="5" t="s">
        <v>13</v>
      </c>
      <c r="G5" s="6">
        <v>440</v>
      </c>
      <c r="H5" s="5" t="s">
        <v>7</v>
      </c>
      <c r="I5" s="7" t="s">
        <v>142</v>
      </c>
      <c r="J5" s="5" t="s">
        <v>3</v>
      </c>
      <c r="K5" s="8">
        <v>46118</v>
      </c>
      <c r="L5" s="9">
        <v>0.88</v>
      </c>
      <c r="M5" s="9">
        <v>0</v>
      </c>
      <c r="N5" s="18">
        <v>387.2</v>
      </c>
    </row>
    <row r="6" spans="1:14" ht="17.100000000000001" customHeight="1" x14ac:dyDescent="0.2">
      <c r="A6" s="17">
        <v>4</v>
      </c>
      <c r="B6" s="5" t="s">
        <v>15</v>
      </c>
      <c r="C6" s="5" t="s">
        <v>16</v>
      </c>
      <c r="D6" s="5" t="s">
        <v>2</v>
      </c>
      <c r="E6" s="5" t="s">
        <v>18</v>
      </c>
      <c r="F6" s="5" t="s">
        <v>17</v>
      </c>
      <c r="G6" s="6">
        <v>4400</v>
      </c>
      <c r="H6" s="5" t="s">
        <v>7</v>
      </c>
      <c r="I6" s="7" t="s">
        <v>142</v>
      </c>
      <c r="J6" s="5" t="s">
        <v>3</v>
      </c>
      <c r="K6" s="8">
        <v>46118</v>
      </c>
      <c r="L6" s="9">
        <v>0.75</v>
      </c>
      <c r="M6" s="9">
        <v>0</v>
      </c>
      <c r="N6" s="18">
        <v>3300</v>
      </c>
    </row>
    <row r="7" spans="1:14" ht="17.100000000000001" customHeight="1" x14ac:dyDescent="0.2">
      <c r="A7" s="17">
        <v>5</v>
      </c>
      <c r="B7" s="5" t="s">
        <v>19</v>
      </c>
      <c r="C7" s="5" t="s">
        <v>16</v>
      </c>
      <c r="D7" s="5" t="s">
        <v>2</v>
      </c>
      <c r="E7" s="5" t="s">
        <v>18</v>
      </c>
      <c r="F7" s="5" t="s">
        <v>17</v>
      </c>
      <c r="G7" s="6">
        <v>4400</v>
      </c>
      <c r="H7" s="5" t="s">
        <v>7</v>
      </c>
      <c r="I7" s="7" t="s">
        <v>142</v>
      </c>
      <c r="J7" s="5" t="s">
        <v>3</v>
      </c>
      <c r="K7" s="8">
        <v>46118</v>
      </c>
      <c r="L7" s="9">
        <v>0.75</v>
      </c>
      <c r="M7" s="9">
        <v>0</v>
      </c>
      <c r="N7" s="18">
        <v>3300</v>
      </c>
    </row>
    <row r="8" spans="1:14" ht="17.100000000000001" customHeight="1" x14ac:dyDescent="0.2">
      <c r="A8" s="17">
        <v>6</v>
      </c>
      <c r="B8" s="5" t="s">
        <v>20</v>
      </c>
      <c r="C8" s="5" t="s">
        <v>16</v>
      </c>
      <c r="D8" s="5" t="s">
        <v>2</v>
      </c>
      <c r="E8" s="5" t="s">
        <v>18</v>
      </c>
      <c r="F8" s="5" t="s">
        <v>17</v>
      </c>
      <c r="G8" s="6">
        <v>4400</v>
      </c>
      <c r="H8" s="5" t="s">
        <v>7</v>
      </c>
      <c r="I8" s="7" t="s">
        <v>142</v>
      </c>
      <c r="J8" s="5" t="s">
        <v>3</v>
      </c>
      <c r="K8" s="8">
        <v>46118</v>
      </c>
      <c r="L8" s="9">
        <v>0.75</v>
      </c>
      <c r="M8" s="9">
        <v>0</v>
      </c>
      <c r="N8" s="18">
        <v>3300</v>
      </c>
    </row>
    <row r="9" spans="1:14" ht="17.100000000000001" customHeight="1" x14ac:dyDescent="0.2">
      <c r="A9" s="17">
        <v>7</v>
      </c>
      <c r="B9" s="5" t="s">
        <v>21</v>
      </c>
      <c r="C9" s="5" t="s">
        <v>23</v>
      </c>
      <c r="D9" s="5" t="s">
        <v>22</v>
      </c>
      <c r="E9" s="5" t="s">
        <v>25</v>
      </c>
      <c r="F9" s="5" t="s">
        <v>24</v>
      </c>
      <c r="G9" s="6">
        <v>35</v>
      </c>
      <c r="H9" s="5" t="s">
        <v>26</v>
      </c>
      <c r="I9" s="7" t="s">
        <v>142</v>
      </c>
      <c r="J9" s="5" t="s">
        <v>3</v>
      </c>
      <c r="K9" s="8">
        <v>46121</v>
      </c>
      <c r="L9" s="9">
        <v>45.090942857142899</v>
      </c>
      <c r="M9" s="9">
        <v>0</v>
      </c>
      <c r="N9" s="18">
        <v>1578.183</v>
      </c>
    </row>
    <row r="10" spans="1:14" ht="17.100000000000001" customHeight="1" x14ac:dyDescent="0.2">
      <c r="A10" s="17">
        <v>8</v>
      </c>
      <c r="B10" s="5" t="s">
        <v>21</v>
      </c>
      <c r="C10" s="5" t="s">
        <v>27</v>
      </c>
      <c r="D10" s="5" t="s">
        <v>22</v>
      </c>
      <c r="E10" s="5" t="s">
        <v>29</v>
      </c>
      <c r="F10" s="5" t="s">
        <v>28</v>
      </c>
      <c r="G10" s="6">
        <v>250</v>
      </c>
      <c r="H10" s="5" t="s">
        <v>26</v>
      </c>
      <c r="I10" s="7" t="s">
        <v>142</v>
      </c>
      <c r="J10" s="5" t="s">
        <v>3</v>
      </c>
      <c r="K10" s="8">
        <v>46121</v>
      </c>
      <c r="L10" s="9">
        <v>2.1793480000000001</v>
      </c>
      <c r="M10" s="9">
        <v>0</v>
      </c>
      <c r="N10" s="18">
        <v>544.83699999999999</v>
      </c>
    </row>
    <row r="11" spans="1:14" ht="17.100000000000001" customHeight="1" x14ac:dyDescent="0.2">
      <c r="A11" s="17">
        <v>9</v>
      </c>
      <c r="B11" s="5" t="s">
        <v>21</v>
      </c>
      <c r="C11" s="5" t="s">
        <v>30</v>
      </c>
      <c r="D11" s="5" t="s">
        <v>22</v>
      </c>
      <c r="E11" s="5" t="s">
        <v>32</v>
      </c>
      <c r="F11" s="5" t="s">
        <v>31</v>
      </c>
      <c r="G11" s="6">
        <v>60</v>
      </c>
      <c r="H11" s="5" t="s">
        <v>26</v>
      </c>
      <c r="I11" s="7" t="s">
        <v>142</v>
      </c>
      <c r="J11" s="5" t="s">
        <v>3</v>
      </c>
      <c r="K11" s="8">
        <v>46121</v>
      </c>
      <c r="L11" s="9">
        <v>2.02586666666667</v>
      </c>
      <c r="M11" s="9">
        <v>0</v>
      </c>
      <c r="N11" s="18">
        <v>121.55200000000001</v>
      </c>
    </row>
    <row r="12" spans="1:14" ht="17.100000000000001" customHeight="1" x14ac:dyDescent="0.2">
      <c r="A12" s="17">
        <v>10</v>
      </c>
      <c r="B12" s="5" t="s">
        <v>21</v>
      </c>
      <c r="C12" s="5" t="s">
        <v>33</v>
      </c>
      <c r="D12" s="5" t="s">
        <v>22</v>
      </c>
      <c r="E12" s="5" t="s">
        <v>35</v>
      </c>
      <c r="F12" s="5" t="s">
        <v>34</v>
      </c>
      <c r="G12" s="6">
        <v>60</v>
      </c>
      <c r="H12" s="5" t="s">
        <v>26</v>
      </c>
      <c r="I12" s="7" t="s">
        <v>142</v>
      </c>
      <c r="J12" s="5" t="s">
        <v>3</v>
      </c>
      <c r="K12" s="8">
        <v>46121</v>
      </c>
      <c r="L12" s="9">
        <v>2.02586666666667</v>
      </c>
      <c r="M12" s="9">
        <v>0</v>
      </c>
      <c r="N12" s="18">
        <v>121.55200000000001</v>
      </c>
    </row>
    <row r="13" spans="1:14" ht="17.100000000000001" customHeight="1" x14ac:dyDescent="0.2">
      <c r="A13" s="17">
        <v>11</v>
      </c>
      <c r="B13" s="5" t="s">
        <v>21</v>
      </c>
      <c r="C13" s="5" t="s">
        <v>36</v>
      </c>
      <c r="D13" s="5" t="s">
        <v>22</v>
      </c>
      <c r="E13" s="5" t="s">
        <v>38</v>
      </c>
      <c r="F13" s="5" t="s">
        <v>37</v>
      </c>
      <c r="G13" s="6">
        <v>60</v>
      </c>
      <c r="H13" s="5" t="s">
        <v>26</v>
      </c>
      <c r="I13" s="7" t="s">
        <v>142</v>
      </c>
      <c r="J13" s="5" t="s">
        <v>3</v>
      </c>
      <c r="K13" s="8">
        <v>46121</v>
      </c>
      <c r="L13" s="9">
        <v>6.7529000000000003</v>
      </c>
      <c r="M13" s="9">
        <v>0</v>
      </c>
      <c r="N13" s="18">
        <v>405.17399999999998</v>
      </c>
    </row>
    <row r="14" spans="1:14" ht="17.100000000000001" customHeight="1" x14ac:dyDescent="0.2">
      <c r="A14" s="17">
        <v>12</v>
      </c>
      <c r="B14" s="5" t="s">
        <v>21</v>
      </c>
      <c r="C14" s="5" t="s">
        <v>39</v>
      </c>
      <c r="D14" s="5" t="s">
        <v>22</v>
      </c>
      <c r="E14" s="5" t="s">
        <v>41</v>
      </c>
      <c r="F14" s="5" t="s">
        <v>40</v>
      </c>
      <c r="G14" s="6">
        <v>60</v>
      </c>
      <c r="H14" s="5" t="s">
        <v>26</v>
      </c>
      <c r="I14" s="7" t="s">
        <v>142</v>
      </c>
      <c r="J14" s="5" t="s">
        <v>3</v>
      </c>
      <c r="K14" s="8">
        <v>46121</v>
      </c>
      <c r="L14" s="9">
        <v>9.7917000000000005</v>
      </c>
      <c r="M14" s="9">
        <v>0</v>
      </c>
      <c r="N14" s="18">
        <v>587.50199999999995</v>
      </c>
    </row>
    <row r="15" spans="1:14" ht="17.100000000000001" customHeight="1" x14ac:dyDescent="0.2">
      <c r="A15" s="17">
        <v>13</v>
      </c>
      <c r="B15" s="5" t="s">
        <v>21</v>
      </c>
      <c r="C15" s="5" t="s">
        <v>42</v>
      </c>
      <c r="D15" s="5" t="s">
        <v>22</v>
      </c>
      <c r="E15" s="5" t="s">
        <v>44</v>
      </c>
      <c r="F15" s="5" t="s">
        <v>43</v>
      </c>
      <c r="G15" s="6">
        <v>60</v>
      </c>
      <c r="H15" s="5" t="s">
        <v>26</v>
      </c>
      <c r="I15" s="7" t="s">
        <v>142</v>
      </c>
      <c r="J15" s="5" t="s">
        <v>3</v>
      </c>
      <c r="K15" s="8">
        <v>46121</v>
      </c>
      <c r="L15" s="9">
        <v>18.20215</v>
      </c>
      <c r="M15" s="9">
        <v>0</v>
      </c>
      <c r="N15" s="18">
        <v>1092.1289999999999</v>
      </c>
    </row>
    <row r="16" spans="1:14" ht="17.100000000000001" customHeight="1" x14ac:dyDescent="0.2">
      <c r="A16" s="17">
        <v>14</v>
      </c>
      <c r="B16" s="5" t="s">
        <v>21</v>
      </c>
      <c r="C16" s="5" t="s">
        <v>45</v>
      </c>
      <c r="D16" s="5" t="s">
        <v>22</v>
      </c>
      <c r="E16" s="5" t="s">
        <v>47</v>
      </c>
      <c r="F16" s="5" t="s">
        <v>46</v>
      </c>
      <c r="G16" s="6">
        <v>60</v>
      </c>
      <c r="H16" s="5" t="s">
        <v>26</v>
      </c>
      <c r="I16" s="7" t="s">
        <v>142</v>
      </c>
      <c r="J16" s="5" t="s">
        <v>3</v>
      </c>
      <c r="K16" s="8">
        <v>46121</v>
      </c>
      <c r="L16" s="9">
        <v>3.3764500000000002</v>
      </c>
      <c r="M16" s="9">
        <v>0</v>
      </c>
      <c r="N16" s="18">
        <v>202.58699999999999</v>
      </c>
    </row>
    <row r="17" spans="1:14" ht="17.100000000000001" customHeight="1" x14ac:dyDescent="0.2">
      <c r="A17" s="17">
        <v>15</v>
      </c>
      <c r="B17" s="5" t="s">
        <v>21</v>
      </c>
      <c r="C17" s="5" t="s">
        <v>48</v>
      </c>
      <c r="D17" s="5" t="s">
        <v>22</v>
      </c>
      <c r="E17" s="5" t="s">
        <v>50</v>
      </c>
      <c r="F17" s="5" t="s">
        <v>49</v>
      </c>
      <c r="G17" s="6">
        <v>80</v>
      </c>
      <c r="H17" s="5" t="s">
        <v>26</v>
      </c>
      <c r="I17" s="7" t="s">
        <v>142</v>
      </c>
      <c r="J17" s="5" t="s">
        <v>3</v>
      </c>
      <c r="K17" s="8">
        <v>46121</v>
      </c>
      <c r="L17" s="9">
        <v>10.6511625</v>
      </c>
      <c r="M17" s="9">
        <v>0</v>
      </c>
      <c r="N17" s="18">
        <v>852.09299999999996</v>
      </c>
    </row>
    <row r="18" spans="1:14" ht="17.100000000000001" customHeight="1" x14ac:dyDescent="0.2">
      <c r="A18" s="17">
        <v>16</v>
      </c>
      <c r="B18" s="5" t="s">
        <v>21</v>
      </c>
      <c r="C18" s="5" t="s">
        <v>51</v>
      </c>
      <c r="D18" s="5" t="s">
        <v>22</v>
      </c>
      <c r="E18" s="5" t="s">
        <v>53</v>
      </c>
      <c r="F18" s="5" t="s">
        <v>52</v>
      </c>
      <c r="G18" s="6">
        <v>20</v>
      </c>
      <c r="H18" s="5" t="s">
        <v>26</v>
      </c>
      <c r="I18" s="7" t="s">
        <v>142</v>
      </c>
      <c r="J18" s="5" t="s">
        <v>3</v>
      </c>
      <c r="K18" s="8">
        <v>46121</v>
      </c>
      <c r="L18" s="9">
        <v>11.26505</v>
      </c>
      <c r="M18" s="9">
        <v>0</v>
      </c>
      <c r="N18" s="18">
        <v>225.30099999999999</v>
      </c>
    </row>
    <row r="19" spans="1:14" ht="17.100000000000001" customHeight="1" x14ac:dyDescent="0.2">
      <c r="A19" s="17">
        <v>17</v>
      </c>
      <c r="B19" s="5" t="s">
        <v>54</v>
      </c>
      <c r="C19" s="5" t="s">
        <v>57</v>
      </c>
      <c r="D19" s="30" t="s">
        <v>55</v>
      </c>
      <c r="E19" s="5" t="s">
        <v>59</v>
      </c>
      <c r="F19" s="5" t="s">
        <v>58</v>
      </c>
      <c r="G19" s="6">
        <v>75</v>
      </c>
      <c r="H19" s="5" t="s">
        <v>26</v>
      </c>
      <c r="I19" s="7" t="s">
        <v>143</v>
      </c>
      <c r="J19" s="5" t="s">
        <v>56</v>
      </c>
      <c r="K19" s="8">
        <v>46126</v>
      </c>
      <c r="L19" s="9">
        <v>3.6833999999999998</v>
      </c>
      <c r="M19" s="9">
        <v>0</v>
      </c>
      <c r="N19" s="18">
        <v>276.255</v>
      </c>
    </row>
    <row r="20" spans="1:14" ht="17.100000000000001" customHeight="1" x14ac:dyDescent="0.2">
      <c r="A20" s="17">
        <v>18</v>
      </c>
      <c r="B20" s="5" t="s">
        <v>54</v>
      </c>
      <c r="C20" s="5" t="s">
        <v>60</v>
      </c>
      <c r="D20" s="30" t="s">
        <v>55</v>
      </c>
      <c r="E20" s="5" t="s">
        <v>62</v>
      </c>
      <c r="F20" s="5" t="s">
        <v>61</v>
      </c>
      <c r="G20" s="6">
        <v>10</v>
      </c>
      <c r="H20" s="5" t="s">
        <v>63</v>
      </c>
      <c r="I20" s="7" t="s">
        <v>143</v>
      </c>
      <c r="J20" s="5" t="s">
        <v>56</v>
      </c>
      <c r="K20" s="8">
        <v>46126</v>
      </c>
      <c r="L20" s="9">
        <v>4.6043000000000003</v>
      </c>
      <c r="M20" s="9">
        <v>0</v>
      </c>
      <c r="N20" s="18">
        <v>46.042999999999999</v>
      </c>
    </row>
    <row r="21" spans="1:14" ht="17.100000000000001" customHeight="1" x14ac:dyDescent="0.2">
      <c r="A21" s="17">
        <v>19</v>
      </c>
      <c r="B21" s="5" t="s">
        <v>64</v>
      </c>
      <c r="C21" s="5" t="s">
        <v>66</v>
      </c>
      <c r="D21" s="5" t="s">
        <v>65</v>
      </c>
      <c r="E21" s="5" t="s">
        <v>67</v>
      </c>
      <c r="F21" s="5" t="s">
        <v>67</v>
      </c>
      <c r="G21" s="6">
        <v>12100</v>
      </c>
      <c r="H21" s="5" t="s">
        <v>7</v>
      </c>
      <c r="I21" s="7" t="s">
        <v>142</v>
      </c>
      <c r="J21" s="5" t="s">
        <v>3</v>
      </c>
      <c r="K21" s="8">
        <v>46128</v>
      </c>
      <c r="L21" s="9">
        <v>0.187</v>
      </c>
      <c r="M21" s="9">
        <v>0</v>
      </c>
      <c r="N21" s="18">
        <v>2262.6999999999998</v>
      </c>
    </row>
    <row r="22" spans="1:14" ht="17.100000000000001" customHeight="1" x14ac:dyDescent="0.2">
      <c r="A22" s="17">
        <v>20</v>
      </c>
      <c r="B22" s="5" t="s">
        <v>68</v>
      </c>
      <c r="C22" s="5" t="s">
        <v>71</v>
      </c>
      <c r="D22" s="5" t="s">
        <v>69</v>
      </c>
      <c r="E22" s="5" t="s">
        <v>73</v>
      </c>
      <c r="F22" s="5" t="s">
        <v>72</v>
      </c>
      <c r="G22" s="6">
        <v>297</v>
      </c>
      <c r="H22" s="5" t="s">
        <v>74</v>
      </c>
      <c r="I22" s="7" t="s">
        <v>144</v>
      </c>
      <c r="J22" s="5" t="s">
        <v>70</v>
      </c>
      <c r="K22" s="8">
        <v>46132</v>
      </c>
      <c r="L22" s="9">
        <v>0.38500000000000001</v>
      </c>
      <c r="M22" s="9">
        <v>0</v>
      </c>
      <c r="N22" s="18">
        <v>114.345</v>
      </c>
    </row>
    <row r="23" spans="1:14" ht="17.100000000000001" customHeight="1" x14ac:dyDescent="0.2">
      <c r="A23" s="17">
        <v>21</v>
      </c>
      <c r="B23" s="5" t="s">
        <v>75</v>
      </c>
      <c r="C23" s="5" t="s">
        <v>71</v>
      </c>
      <c r="D23" s="5" t="s">
        <v>69</v>
      </c>
      <c r="E23" s="5" t="s">
        <v>73</v>
      </c>
      <c r="F23" s="5" t="s">
        <v>72</v>
      </c>
      <c r="G23" s="6">
        <v>287</v>
      </c>
      <c r="H23" s="5" t="s">
        <v>74</v>
      </c>
      <c r="I23" s="7" t="s">
        <v>144</v>
      </c>
      <c r="J23" s="5" t="s">
        <v>70</v>
      </c>
      <c r="K23" s="8">
        <v>46132</v>
      </c>
      <c r="L23" s="9">
        <v>0.38500000000000001</v>
      </c>
      <c r="M23" s="9">
        <v>0</v>
      </c>
      <c r="N23" s="18">
        <v>110.495</v>
      </c>
    </row>
    <row r="24" spans="1:14" ht="17.100000000000001" customHeight="1" x14ac:dyDescent="0.2">
      <c r="A24" s="17">
        <v>22</v>
      </c>
      <c r="B24" s="5" t="s">
        <v>76</v>
      </c>
      <c r="C24" s="5" t="s">
        <v>71</v>
      </c>
      <c r="D24" s="5" t="s">
        <v>69</v>
      </c>
      <c r="E24" s="5" t="s">
        <v>73</v>
      </c>
      <c r="F24" s="5" t="s">
        <v>72</v>
      </c>
      <c r="G24" s="6">
        <v>287</v>
      </c>
      <c r="H24" s="5" t="s">
        <v>74</v>
      </c>
      <c r="I24" s="7" t="s">
        <v>144</v>
      </c>
      <c r="J24" s="5" t="s">
        <v>70</v>
      </c>
      <c r="K24" s="8">
        <v>46132</v>
      </c>
      <c r="L24" s="9">
        <v>0.38500000000000001</v>
      </c>
      <c r="M24" s="9">
        <v>0</v>
      </c>
      <c r="N24" s="18">
        <v>110.495</v>
      </c>
    </row>
    <row r="25" spans="1:14" ht="17.100000000000001" customHeight="1" x14ac:dyDescent="0.2">
      <c r="A25" s="17">
        <v>23</v>
      </c>
      <c r="B25" s="5" t="s">
        <v>77</v>
      </c>
      <c r="C25" s="5" t="s">
        <v>71</v>
      </c>
      <c r="D25" s="5" t="s">
        <v>69</v>
      </c>
      <c r="E25" s="5" t="s">
        <v>73</v>
      </c>
      <c r="F25" s="5" t="s">
        <v>72</v>
      </c>
      <c r="G25" s="6">
        <v>287</v>
      </c>
      <c r="H25" s="5" t="s">
        <v>74</v>
      </c>
      <c r="I25" s="7" t="s">
        <v>144</v>
      </c>
      <c r="J25" s="5" t="s">
        <v>70</v>
      </c>
      <c r="K25" s="8">
        <v>46132</v>
      </c>
      <c r="L25" s="9">
        <v>0.38500000000000001</v>
      </c>
      <c r="M25" s="9">
        <v>0</v>
      </c>
      <c r="N25" s="18">
        <v>110.495</v>
      </c>
    </row>
    <row r="26" spans="1:14" ht="17.100000000000001" customHeight="1" x14ac:dyDescent="0.2">
      <c r="A26" s="17">
        <v>24</v>
      </c>
      <c r="B26" s="5" t="s">
        <v>78</v>
      </c>
      <c r="C26" s="5" t="s">
        <v>81</v>
      </c>
      <c r="D26" s="5" t="s">
        <v>79</v>
      </c>
      <c r="E26" s="5" t="s">
        <v>83</v>
      </c>
      <c r="F26" s="5" t="s">
        <v>82</v>
      </c>
      <c r="G26" s="6">
        <v>3</v>
      </c>
      <c r="H26" s="5" t="s">
        <v>84</v>
      </c>
      <c r="I26" s="7" t="s">
        <v>145</v>
      </c>
      <c r="J26" s="5" t="s">
        <v>80</v>
      </c>
      <c r="K26" s="8">
        <v>46132</v>
      </c>
      <c r="L26" s="9">
        <v>116</v>
      </c>
      <c r="M26" s="9">
        <v>0</v>
      </c>
      <c r="N26" s="18">
        <v>348</v>
      </c>
    </row>
    <row r="27" spans="1:14" ht="17.100000000000001" customHeight="1" x14ac:dyDescent="0.2">
      <c r="A27" s="17">
        <v>25</v>
      </c>
      <c r="B27" s="5" t="s">
        <v>78</v>
      </c>
      <c r="C27" s="5" t="s">
        <v>85</v>
      </c>
      <c r="D27" s="5" t="s">
        <v>79</v>
      </c>
      <c r="E27" s="5" t="s">
        <v>86</v>
      </c>
      <c r="F27" s="5" t="s">
        <v>86</v>
      </c>
      <c r="G27" s="6">
        <v>4</v>
      </c>
      <c r="H27" s="5" t="s">
        <v>84</v>
      </c>
      <c r="I27" s="7" t="s">
        <v>145</v>
      </c>
      <c r="J27" s="5" t="s">
        <v>80</v>
      </c>
      <c r="K27" s="8">
        <v>46132</v>
      </c>
      <c r="L27" s="9">
        <v>119</v>
      </c>
      <c r="M27" s="9">
        <v>0</v>
      </c>
      <c r="N27" s="18">
        <v>476</v>
      </c>
    </row>
    <row r="28" spans="1:14" ht="17.100000000000001" customHeight="1" x14ac:dyDescent="0.2">
      <c r="A28" s="17">
        <v>26</v>
      </c>
      <c r="B28" s="5" t="s">
        <v>78</v>
      </c>
      <c r="C28" s="5" t="s">
        <v>87</v>
      </c>
      <c r="D28" s="5" t="s">
        <v>79</v>
      </c>
      <c r="E28" s="5" t="s">
        <v>89</v>
      </c>
      <c r="F28" s="5" t="s">
        <v>88</v>
      </c>
      <c r="G28" s="6">
        <v>2</v>
      </c>
      <c r="H28" s="5" t="s">
        <v>84</v>
      </c>
      <c r="I28" s="7" t="s">
        <v>145</v>
      </c>
      <c r="J28" s="5" t="s">
        <v>80</v>
      </c>
      <c r="K28" s="8">
        <v>46132</v>
      </c>
      <c r="L28" s="9">
        <v>154</v>
      </c>
      <c r="M28" s="9">
        <v>0</v>
      </c>
      <c r="N28" s="18">
        <v>308</v>
      </c>
    </row>
    <row r="29" spans="1:14" ht="17.100000000000001" customHeight="1" x14ac:dyDescent="0.2">
      <c r="A29" s="17">
        <v>27</v>
      </c>
      <c r="B29" s="5" t="s">
        <v>78</v>
      </c>
      <c r="C29" s="5" t="s">
        <v>81</v>
      </c>
      <c r="D29" s="5" t="s">
        <v>79</v>
      </c>
      <c r="E29" s="5" t="s">
        <v>83</v>
      </c>
      <c r="F29" s="5" t="s">
        <v>82</v>
      </c>
      <c r="G29" s="6">
        <v>1</v>
      </c>
      <c r="H29" s="5" t="s">
        <v>84</v>
      </c>
      <c r="I29" s="7" t="s">
        <v>145</v>
      </c>
      <c r="J29" s="5" t="s">
        <v>80</v>
      </c>
      <c r="K29" s="8">
        <v>46132</v>
      </c>
      <c r="L29" s="9">
        <v>116</v>
      </c>
      <c r="M29" s="9">
        <v>0</v>
      </c>
      <c r="N29" s="18">
        <v>116</v>
      </c>
    </row>
    <row r="30" spans="1:14" ht="17.100000000000001" customHeight="1" x14ac:dyDescent="0.2">
      <c r="A30" s="17">
        <v>28</v>
      </c>
      <c r="B30" s="5" t="s">
        <v>78</v>
      </c>
      <c r="C30" s="5" t="s">
        <v>85</v>
      </c>
      <c r="D30" s="5" t="s">
        <v>79</v>
      </c>
      <c r="E30" s="5" t="s">
        <v>86</v>
      </c>
      <c r="F30" s="5" t="s">
        <v>86</v>
      </c>
      <c r="G30" s="6">
        <v>1</v>
      </c>
      <c r="H30" s="5" t="s">
        <v>84</v>
      </c>
      <c r="I30" s="7" t="s">
        <v>145</v>
      </c>
      <c r="J30" s="5" t="s">
        <v>80</v>
      </c>
      <c r="K30" s="8">
        <v>46132</v>
      </c>
      <c r="L30" s="9">
        <v>119</v>
      </c>
      <c r="M30" s="9">
        <v>0</v>
      </c>
      <c r="N30" s="18">
        <v>119</v>
      </c>
    </row>
    <row r="31" spans="1:14" ht="17.100000000000001" customHeight="1" x14ac:dyDescent="0.2">
      <c r="A31" s="17">
        <v>29</v>
      </c>
      <c r="B31" s="5" t="s">
        <v>78</v>
      </c>
      <c r="C31" s="5" t="s">
        <v>90</v>
      </c>
      <c r="D31" s="5" t="s">
        <v>79</v>
      </c>
      <c r="E31" s="5" t="s">
        <v>91</v>
      </c>
      <c r="F31" s="5" t="s">
        <v>91</v>
      </c>
      <c r="G31" s="6">
        <v>1</v>
      </c>
      <c r="H31" s="5" t="s">
        <v>84</v>
      </c>
      <c r="I31" s="7" t="s">
        <v>145</v>
      </c>
      <c r="J31" s="5" t="s">
        <v>80</v>
      </c>
      <c r="K31" s="8">
        <v>46132</v>
      </c>
      <c r="L31" s="9">
        <v>152</v>
      </c>
      <c r="M31" s="9">
        <v>0</v>
      </c>
      <c r="N31" s="18">
        <v>152</v>
      </c>
    </row>
    <row r="32" spans="1:14" ht="17.100000000000001" customHeight="1" x14ac:dyDescent="0.2">
      <c r="A32" s="17">
        <v>30</v>
      </c>
      <c r="B32" s="5" t="s">
        <v>78</v>
      </c>
      <c r="C32" s="5" t="s">
        <v>87</v>
      </c>
      <c r="D32" s="5" t="s">
        <v>79</v>
      </c>
      <c r="E32" s="5" t="s">
        <v>89</v>
      </c>
      <c r="F32" s="5" t="s">
        <v>88</v>
      </c>
      <c r="G32" s="6">
        <v>1</v>
      </c>
      <c r="H32" s="5" t="s">
        <v>84</v>
      </c>
      <c r="I32" s="7" t="s">
        <v>145</v>
      </c>
      <c r="J32" s="5" t="s">
        <v>80</v>
      </c>
      <c r="K32" s="8">
        <v>46132</v>
      </c>
      <c r="L32" s="9">
        <v>154</v>
      </c>
      <c r="M32" s="9">
        <v>0</v>
      </c>
      <c r="N32" s="18">
        <v>154</v>
      </c>
    </row>
    <row r="33" spans="1:14" ht="17.100000000000001" customHeight="1" x14ac:dyDescent="0.2">
      <c r="A33" s="17">
        <v>31</v>
      </c>
      <c r="B33" s="5" t="s">
        <v>92</v>
      </c>
      <c r="C33" s="5" t="s">
        <v>94</v>
      </c>
      <c r="D33" s="33" t="s">
        <v>93</v>
      </c>
      <c r="E33" s="30" t="s">
        <v>95</v>
      </c>
      <c r="F33" s="30" t="s">
        <v>95</v>
      </c>
      <c r="G33" s="6">
        <v>1</v>
      </c>
      <c r="H33" s="5" t="s">
        <v>26</v>
      </c>
      <c r="I33" s="7" t="s">
        <v>145</v>
      </c>
      <c r="J33" s="5" t="s">
        <v>80</v>
      </c>
      <c r="K33" s="8">
        <v>46132</v>
      </c>
      <c r="L33" s="9">
        <v>350</v>
      </c>
      <c r="M33" s="9">
        <v>0</v>
      </c>
      <c r="N33" s="18">
        <v>350</v>
      </c>
    </row>
    <row r="34" spans="1:14" ht="17.100000000000001" customHeight="1" x14ac:dyDescent="0.2">
      <c r="A34" s="17">
        <v>32</v>
      </c>
      <c r="B34" s="5" t="s">
        <v>96</v>
      </c>
      <c r="C34" s="5" t="s">
        <v>98</v>
      </c>
      <c r="D34" s="5" t="s">
        <v>97</v>
      </c>
      <c r="E34" s="5" t="s">
        <v>100</v>
      </c>
      <c r="F34" s="5" t="s">
        <v>99</v>
      </c>
      <c r="G34" s="6">
        <v>6</v>
      </c>
      <c r="H34" s="5" t="s">
        <v>26</v>
      </c>
      <c r="I34" s="7" t="s">
        <v>142</v>
      </c>
      <c r="J34" s="5" t="s">
        <v>3</v>
      </c>
      <c r="K34" s="8">
        <v>46132</v>
      </c>
      <c r="L34" s="9">
        <v>264.91016666666701</v>
      </c>
      <c r="M34" s="9">
        <v>0</v>
      </c>
      <c r="N34" s="18">
        <v>1589.461</v>
      </c>
    </row>
    <row r="35" spans="1:14" ht="17.100000000000001" customHeight="1" x14ac:dyDescent="0.2">
      <c r="A35" s="17">
        <v>33</v>
      </c>
      <c r="B35" s="5" t="s">
        <v>96</v>
      </c>
      <c r="C35" s="5" t="s">
        <v>101</v>
      </c>
      <c r="D35" s="5" t="s">
        <v>97</v>
      </c>
      <c r="E35" s="5" t="s">
        <v>103</v>
      </c>
      <c r="F35" s="5" t="s">
        <v>102</v>
      </c>
      <c r="G35" s="6">
        <v>6</v>
      </c>
      <c r="H35" s="5" t="s">
        <v>26</v>
      </c>
      <c r="I35" s="7" t="s">
        <v>142</v>
      </c>
      <c r="J35" s="5" t="s">
        <v>3</v>
      </c>
      <c r="K35" s="8">
        <v>46132</v>
      </c>
      <c r="L35" s="9">
        <v>99.976666666666702</v>
      </c>
      <c r="M35" s="9">
        <v>0</v>
      </c>
      <c r="N35" s="18">
        <v>599.86</v>
      </c>
    </row>
    <row r="36" spans="1:14" ht="17.100000000000001" customHeight="1" x14ac:dyDescent="0.2">
      <c r="A36" s="17">
        <v>34</v>
      </c>
      <c r="B36" s="5" t="s">
        <v>96</v>
      </c>
      <c r="C36" s="5" t="s">
        <v>104</v>
      </c>
      <c r="D36" s="5" t="s">
        <v>97</v>
      </c>
      <c r="E36" s="5" t="s">
        <v>106</v>
      </c>
      <c r="F36" s="5" t="s">
        <v>105</v>
      </c>
      <c r="G36" s="6">
        <v>2</v>
      </c>
      <c r="H36" s="5" t="s">
        <v>26</v>
      </c>
      <c r="I36" s="7" t="s">
        <v>142</v>
      </c>
      <c r="J36" s="5" t="s">
        <v>3</v>
      </c>
      <c r="K36" s="8">
        <v>46132</v>
      </c>
      <c r="L36" s="9">
        <v>99.983000000000004</v>
      </c>
      <c r="M36" s="9">
        <v>0</v>
      </c>
      <c r="N36" s="18">
        <v>199.96600000000001</v>
      </c>
    </row>
    <row r="37" spans="1:14" ht="17.100000000000001" customHeight="1" x14ac:dyDescent="0.2">
      <c r="A37" s="17">
        <v>35</v>
      </c>
      <c r="B37" s="5" t="s">
        <v>96</v>
      </c>
      <c r="C37" s="5" t="s">
        <v>107</v>
      </c>
      <c r="D37" s="5" t="s">
        <v>97</v>
      </c>
      <c r="E37" s="5" t="s">
        <v>109</v>
      </c>
      <c r="F37" s="5" t="s">
        <v>108</v>
      </c>
      <c r="G37" s="6">
        <v>10</v>
      </c>
      <c r="H37" s="5" t="s">
        <v>26</v>
      </c>
      <c r="I37" s="7" t="s">
        <v>142</v>
      </c>
      <c r="J37" s="5" t="s">
        <v>3</v>
      </c>
      <c r="K37" s="8">
        <v>46132</v>
      </c>
      <c r="L37" s="9">
        <v>4.3863000000000003</v>
      </c>
      <c r="M37" s="9">
        <v>0</v>
      </c>
      <c r="N37" s="18">
        <v>43.863</v>
      </c>
    </row>
    <row r="38" spans="1:14" ht="17.100000000000001" customHeight="1" x14ac:dyDescent="0.2">
      <c r="A38" s="17">
        <v>36</v>
      </c>
      <c r="B38" s="5" t="s">
        <v>96</v>
      </c>
      <c r="C38" s="5" t="s">
        <v>110</v>
      </c>
      <c r="D38" s="5" t="s">
        <v>97</v>
      </c>
      <c r="E38" s="5" t="s">
        <v>112</v>
      </c>
      <c r="F38" s="5" t="s">
        <v>111</v>
      </c>
      <c r="G38" s="6">
        <v>10</v>
      </c>
      <c r="H38" s="5" t="s">
        <v>26</v>
      </c>
      <c r="I38" s="7" t="s">
        <v>142</v>
      </c>
      <c r="J38" s="5" t="s">
        <v>3</v>
      </c>
      <c r="K38" s="8">
        <v>46132</v>
      </c>
      <c r="L38" s="9">
        <v>3.3917999999999999</v>
      </c>
      <c r="M38" s="9">
        <v>0</v>
      </c>
      <c r="N38" s="18">
        <v>33.917999999999999</v>
      </c>
    </row>
    <row r="39" spans="1:14" ht="17.100000000000001" customHeight="1" x14ac:dyDescent="0.2">
      <c r="A39" s="17">
        <v>37</v>
      </c>
      <c r="B39" s="5" t="s">
        <v>96</v>
      </c>
      <c r="C39" s="5" t="s">
        <v>113</v>
      </c>
      <c r="D39" s="5" t="s">
        <v>97</v>
      </c>
      <c r="E39" s="5" t="s">
        <v>115</v>
      </c>
      <c r="F39" s="5" t="s">
        <v>114</v>
      </c>
      <c r="G39" s="6">
        <v>10</v>
      </c>
      <c r="H39" s="5" t="s">
        <v>26</v>
      </c>
      <c r="I39" s="7" t="s">
        <v>142</v>
      </c>
      <c r="J39" s="5" t="s">
        <v>3</v>
      </c>
      <c r="K39" s="8">
        <v>46132</v>
      </c>
      <c r="L39" s="9">
        <v>3.9074</v>
      </c>
      <c r="M39" s="9">
        <v>0</v>
      </c>
      <c r="N39" s="18">
        <v>39.073999999999998</v>
      </c>
    </row>
    <row r="40" spans="1:14" ht="17.100000000000001" customHeight="1" x14ac:dyDescent="0.2">
      <c r="A40" s="17">
        <v>38</v>
      </c>
      <c r="B40" s="5" t="s">
        <v>96</v>
      </c>
      <c r="C40" s="5" t="s">
        <v>116</v>
      </c>
      <c r="D40" s="5" t="s">
        <v>97</v>
      </c>
      <c r="E40" s="5" t="s">
        <v>118</v>
      </c>
      <c r="F40" s="5" t="s">
        <v>117</v>
      </c>
      <c r="G40" s="6">
        <v>12</v>
      </c>
      <c r="H40" s="5" t="s">
        <v>26</v>
      </c>
      <c r="I40" s="7" t="s">
        <v>142</v>
      </c>
      <c r="J40" s="5" t="s">
        <v>3</v>
      </c>
      <c r="K40" s="8">
        <v>46132</v>
      </c>
      <c r="L40" s="9">
        <v>108.896666666667</v>
      </c>
      <c r="M40" s="9">
        <v>0</v>
      </c>
      <c r="N40" s="18">
        <v>1306.76</v>
      </c>
    </row>
    <row r="41" spans="1:14" ht="17.100000000000001" customHeight="1" x14ac:dyDescent="0.2">
      <c r="A41" s="17">
        <v>39</v>
      </c>
      <c r="B41" s="5" t="s">
        <v>96</v>
      </c>
      <c r="C41" s="5" t="s">
        <v>119</v>
      </c>
      <c r="D41" s="5" t="s">
        <v>97</v>
      </c>
      <c r="E41" s="5" t="s">
        <v>121</v>
      </c>
      <c r="F41" s="5" t="s">
        <v>120</v>
      </c>
      <c r="G41" s="6">
        <v>10</v>
      </c>
      <c r="H41" s="5" t="s">
        <v>26</v>
      </c>
      <c r="I41" s="7" t="s">
        <v>142</v>
      </c>
      <c r="J41" s="5" t="s">
        <v>3</v>
      </c>
      <c r="K41" s="8">
        <v>46132</v>
      </c>
      <c r="L41" s="9">
        <v>11.4922</v>
      </c>
      <c r="M41" s="9">
        <v>0</v>
      </c>
      <c r="N41" s="18">
        <v>114.922</v>
      </c>
    </row>
    <row r="42" spans="1:14" ht="17.100000000000001" customHeight="1" x14ac:dyDescent="0.2">
      <c r="A42" s="17">
        <v>40</v>
      </c>
      <c r="B42" s="5" t="s">
        <v>96</v>
      </c>
      <c r="C42" s="5" t="s">
        <v>122</v>
      </c>
      <c r="D42" s="5" t="s">
        <v>97</v>
      </c>
      <c r="E42" s="5" t="s">
        <v>124</v>
      </c>
      <c r="F42" s="5" t="s">
        <v>123</v>
      </c>
      <c r="G42" s="6">
        <v>10</v>
      </c>
      <c r="H42" s="5" t="s">
        <v>26</v>
      </c>
      <c r="I42" s="7" t="s">
        <v>142</v>
      </c>
      <c r="J42" s="5" t="s">
        <v>3</v>
      </c>
      <c r="K42" s="8">
        <v>46132</v>
      </c>
      <c r="L42" s="9">
        <v>1.5408999999999999</v>
      </c>
      <c r="M42" s="9">
        <v>0</v>
      </c>
      <c r="N42" s="18">
        <v>15.409000000000001</v>
      </c>
    </row>
    <row r="43" spans="1:14" ht="17.100000000000001" customHeight="1" x14ac:dyDescent="0.2">
      <c r="A43" s="17">
        <v>41</v>
      </c>
      <c r="B43" s="5" t="s">
        <v>96</v>
      </c>
      <c r="C43" s="5" t="s">
        <v>125</v>
      </c>
      <c r="D43" s="5" t="s">
        <v>97</v>
      </c>
      <c r="E43" s="5" t="s">
        <v>127</v>
      </c>
      <c r="F43" s="5" t="s">
        <v>126</v>
      </c>
      <c r="G43" s="6">
        <v>6</v>
      </c>
      <c r="H43" s="5" t="s">
        <v>26</v>
      </c>
      <c r="I43" s="7" t="s">
        <v>142</v>
      </c>
      <c r="J43" s="5" t="s">
        <v>3</v>
      </c>
      <c r="K43" s="8">
        <v>46132</v>
      </c>
      <c r="L43" s="9">
        <v>4.3064999999999998</v>
      </c>
      <c r="M43" s="9">
        <v>0</v>
      </c>
      <c r="N43" s="18">
        <v>25.838999999999999</v>
      </c>
    </row>
    <row r="44" spans="1:14" ht="17.100000000000001" customHeight="1" x14ac:dyDescent="0.2">
      <c r="A44" s="17">
        <v>42</v>
      </c>
      <c r="B44" s="5" t="s">
        <v>96</v>
      </c>
      <c r="C44" s="5" t="s">
        <v>128</v>
      </c>
      <c r="D44" s="5" t="s">
        <v>97</v>
      </c>
      <c r="E44" s="5" t="s">
        <v>130</v>
      </c>
      <c r="F44" s="5" t="s">
        <v>129</v>
      </c>
      <c r="G44" s="6">
        <v>2</v>
      </c>
      <c r="H44" s="5" t="s">
        <v>26</v>
      </c>
      <c r="I44" s="7" t="s">
        <v>142</v>
      </c>
      <c r="J44" s="5" t="s">
        <v>3</v>
      </c>
      <c r="K44" s="8">
        <v>46132</v>
      </c>
      <c r="L44" s="9">
        <v>56.607999999999997</v>
      </c>
      <c r="M44" s="9">
        <v>0</v>
      </c>
      <c r="N44" s="18">
        <v>113.21599999999999</v>
      </c>
    </row>
    <row r="45" spans="1:14" ht="17.100000000000001" customHeight="1" x14ac:dyDescent="0.2">
      <c r="A45" s="17">
        <v>43</v>
      </c>
      <c r="B45" s="5" t="s">
        <v>131</v>
      </c>
      <c r="C45" s="5" t="s">
        <v>133</v>
      </c>
      <c r="D45" s="5" t="s">
        <v>132</v>
      </c>
      <c r="E45" s="5" t="s">
        <v>135</v>
      </c>
      <c r="F45" s="5" t="s">
        <v>134</v>
      </c>
      <c r="G45" s="6">
        <v>2</v>
      </c>
      <c r="H45" s="5" t="s">
        <v>26</v>
      </c>
      <c r="I45" s="7" t="s">
        <v>144</v>
      </c>
      <c r="J45" s="5" t="s">
        <v>70</v>
      </c>
      <c r="K45" s="8">
        <v>46134</v>
      </c>
      <c r="L45" s="9">
        <v>195</v>
      </c>
      <c r="M45" s="9">
        <v>0</v>
      </c>
      <c r="N45" s="18">
        <v>390</v>
      </c>
    </row>
    <row r="46" spans="1:14" ht="17.100000000000001" customHeight="1" x14ac:dyDescent="0.2">
      <c r="A46" s="17">
        <v>44</v>
      </c>
      <c r="B46" s="5" t="s">
        <v>131</v>
      </c>
      <c r="C46" s="5" t="s">
        <v>136</v>
      </c>
      <c r="D46" s="5" t="s">
        <v>132</v>
      </c>
      <c r="E46" s="5" t="s">
        <v>137</v>
      </c>
      <c r="F46" s="5" t="s">
        <v>137</v>
      </c>
      <c r="G46" s="6">
        <v>2</v>
      </c>
      <c r="H46" s="5" t="s">
        <v>26</v>
      </c>
      <c r="I46" s="7" t="s">
        <v>144</v>
      </c>
      <c r="J46" s="5" t="s">
        <v>70</v>
      </c>
      <c r="K46" s="8">
        <v>46134</v>
      </c>
      <c r="L46" s="9">
        <v>15</v>
      </c>
      <c r="M46" s="9">
        <v>0</v>
      </c>
      <c r="N46" s="18">
        <v>30</v>
      </c>
    </row>
    <row r="47" spans="1:14" ht="17.100000000000001" customHeight="1" thickBot="1" x14ac:dyDescent="0.25">
      <c r="A47" s="19">
        <v>45</v>
      </c>
      <c r="B47" s="20" t="s">
        <v>131</v>
      </c>
      <c r="C47" s="20" t="s">
        <v>138</v>
      </c>
      <c r="D47" s="20" t="s">
        <v>132</v>
      </c>
      <c r="E47" s="20" t="s">
        <v>140</v>
      </c>
      <c r="F47" s="20" t="s">
        <v>139</v>
      </c>
      <c r="G47" s="21">
        <v>2</v>
      </c>
      <c r="H47" s="20" t="s">
        <v>26</v>
      </c>
      <c r="I47" s="22" t="s">
        <v>144</v>
      </c>
      <c r="J47" s="20" t="s">
        <v>70</v>
      </c>
      <c r="K47" s="23">
        <v>46134</v>
      </c>
      <c r="L47" s="24">
        <v>10</v>
      </c>
      <c r="M47" s="24">
        <v>0</v>
      </c>
      <c r="N47" s="25">
        <v>20</v>
      </c>
    </row>
    <row r="48" spans="1:14" ht="17.100000000000001" customHeight="1" thickBot="1" x14ac:dyDescent="0.25">
      <c r="M48" s="26" t="s">
        <v>146</v>
      </c>
      <c r="N48" s="27">
        <v>32139.225999999999</v>
      </c>
    </row>
    <row r="49" spans="12:15" ht="17.100000000000001" customHeight="1" x14ac:dyDescent="0.2">
      <c r="O49" s="2"/>
    </row>
    <row r="51" spans="12:15" ht="17.100000000000001" customHeight="1" x14ac:dyDescent="0.2">
      <c r="L51" s="7" t="s">
        <v>147</v>
      </c>
      <c r="M51" s="28"/>
    </row>
    <row r="52" spans="12:15" ht="17.100000000000001" customHeight="1" x14ac:dyDescent="0.2">
      <c r="L52" s="7" t="s">
        <v>148</v>
      </c>
      <c r="M52" s="28"/>
    </row>
    <row r="53" spans="12:15" ht="17.100000000000001" customHeight="1" x14ac:dyDescent="0.2">
      <c r="L53" s="7" t="s">
        <v>149</v>
      </c>
      <c r="M53" s="28"/>
    </row>
    <row r="54" spans="12:15" ht="17.100000000000001" customHeight="1" x14ac:dyDescent="0.2">
      <c r="L54" s="7" t="s">
        <v>150</v>
      </c>
      <c r="M54" s="28"/>
    </row>
    <row r="55" spans="12:15" ht="17.100000000000001" customHeight="1" x14ac:dyDescent="0.2">
      <c r="L55" s="7" t="s">
        <v>151</v>
      </c>
      <c r="M55" s="28">
        <v>885.83</v>
      </c>
    </row>
    <row r="56" spans="12:15" ht="17.100000000000001" customHeight="1" x14ac:dyDescent="0.2">
      <c r="L56" s="7" t="s">
        <v>142</v>
      </c>
      <c r="M56" s="28">
        <v>28908.098000000002</v>
      </c>
    </row>
    <row r="57" spans="12:15" ht="17.100000000000001" customHeight="1" x14ac:dyDescent="0.2">
      <c r="L57" s="7" t="s">
        <v>152</v>
      </c>
      <c r="M57" s="28"/>
    </row>
    <row r="58" spans="12:15" ht="17.100000000000001" customHeight="1" x14ac:dyDescent="0.2">
      <c r="L58" s="7" t="s">
        <v>145</v>
      </c>
      <c r="M58" s="28">
        <v>2023</v>
      </c>
    </row>
    <row r="59" spans="12:15" ht="17.100000000000001" customHeight="1" x14ac:dyDescent="0.2">
      <c r="L59" s="7" t="s">
        <v>153</v>
      </c>
      <c r="M59" s="28"/>
    </row>
    <row r="60" spans="12:15" ht="17.100000000000001" customHeight="1" x14ac:dyDescent="0.2">
      <c r="L60" s="29" t="s">
        <v>154</v>
      </c>
      <c r="M60" s="28"/>
    </row>
    <row r="61" spans="12:15" ht="17.100000000000001" customHeight="1" x14ac:dyDescent="0.2">
      <c r="L61" s="29" t="s">
        <v>155</v>
      </c>
      <c r="M61" s="28"/>
    </row>
    <row r="62" spans="12:15" ht="17.100000000000001" customHeight="1" x14ac:dyDescent="0.2">
      <c r="L62" s="29" t="s">
        <v>156</v>
      </c>
      <c r="M62" s="28"/>
    </row>
    <row r="63" spans="12:15" ht="17.100000000000001" customHeight="1" x14ac:dyDescent="0.2">
      <c r="L63" s="29" t="s">
        <v>157</v>
      </c>
      <c r="M63" s="28"/>
    </row>
    <row r="64" spans="12:15" ht="17.100000000000001" customHeight="1" x14ac:dyDescent="0.2">
      <c r="L64" s="29" t="s">
        <v>158</v>
      </c>
      <c r="M64" s="28"/>
    </row>
    <row r="65" spans="12:13" ht="17.100000000000001" customHeight="1" x14ac:dyDescent="0.2">
      <c r="L65" s="30" t="s">
        <v>143</v>
      </c>
      <c r="M65" s="28">
        <v>322.298</v>
      </c>
    </row>
    <row r="66" spans="12:13" ht="17.100000000000001" customHeight="1" x14ac:dyDescent="0.2">
      <c r="L66" s="31" t="s">
        <v>159</v>
      </c>
      <c r="M66" s="32">
        <f>SUBTOTAL(9,M51:M65)</f>
        <v>32139.226000000002</v>
      </c>
    </row>
  </sheetData>
  <mergeCells count="1">
    <mergeCell ref="A1:N1"/>
  </mergeCells>
  <pageMargins left="0" right="0" top="0" bottom="0" header="0" footer="0"/>
  <pageSetup paperSize="0" scale="0" fitToWidth="0" fitToHeight="0" orientation="landscape" horizontalDpi="0" verticalDpi="0" copies="0"/>
  <ignoredErrors>
    <ignoredError sqref="F3:J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Ali Adel Jafarian</cp:lastModifiedBy>
  <dcterms:created xsi:type="dcterms:W3CDTF">2026-04-28T06:24:21Z</dcterms:created>
  <dcterms:modified xsi:type="dcterms:W3CDTF">2026-07-27T11:58:57Z</dcterms:modified>
</cp:coreProperties>
</file>