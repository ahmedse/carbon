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Carbon Footprint\"/>
    </mc:Choice>
  </mc:AlternateContent>
  <xr:revisionPtr revIDLastSave="0" documentId="8_{E434B862-380C-46A9-B4A7-18C0FFE2F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2024" sheetId="1" r:id="rId1"/>
    <sheet name="Detail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" l="1"/>
  <c r="D29" i="2"/>
  <c r="N28" i="2"/>
  <c r="D28" i="2"/>
  <c r="D27" i="2"/>
  <c r="D26" i="2"/>
  <c r="D23" i="2"/>
  <c r="D22" i="2"/>
  <c r="N21" i="2"/>
  <c r="D21" i="2"/>
  <c r="N20" i="2"/>
  <c r="I20" i="2"/>
  <c r="W17" i="2" s="1"/>
  <c r="D20" i="2"/>
  <c r="N19" i="2"/>
  <c r="I19" i="2"/>
  <c r="W16" i="2" s="1"/>
  <c r="W18" i="2" s="1"/>
  <c r="D19" i="2"/>
  <c r="T18" i="2"/>
  <c r="N18" i="2"/>
  <c r="I18" i="2"/>
  <c r="D18" i="2"/>
  <c r="Q15" i="2" s="1"/>
  <c r="Q18" i="2" s="1"/>
  <c r="T17" i="2"/>
  <c r="Q17" i="2"/>
  <c r="N17" i="2"/>
  <c r="I17" i="2"/>
  <c r="D17" i="2"/>
  <c r="T16" i="2"/>
  <c r="Q16" i="2"/>
  <c r="N16" i="2"/>
  <c r="I16" i="2"/>
  <c r="D16" i="2"/>
  <c r="W15" i="2"/>
  <c r="T15" i="2"/>
  <c r="N15" i="2"/>
  <c r="I15" i="2"/>
  <c r="D15" i="2"/>
  <c r="W14" i="2"/>
  <c r="T14" i="2"/>
  <c r="Q14" i="2"/>
  <c r="N14" i="2"/>
  <c r="I14" i="2"/>
  <c r="D14" i="2"/>
  <c r="W13" i="2"/>
  <c r="T13" i="2"/>
  <c r="Q13" i="2"/>
  <c r="N13" i="2"/>
  <c r="I13" i="2"/>
  <c r="D13" i="2"/>
  <c r="W12" i="2"/>
  <c r="T12" i="2"/>
  <c r="Q12" i="2"/>
  <c r="N12" i="2"/>
  <c r="I12" i="2"/>
  <c r="D12" i="2"/>
  <c r="W11" i="2"/>
  <c r="T11" i="2"/>
  <c r="Q11" i="2"/>
  <c r="N11" i="2"/>
  <c r="I11" i="2"/>
  <c r="D11" i="2"/>
  <c r="W10" i="2"/>
  <c r="T10" i="2"/>
  <c r="Q10" i="2"/>
  <c r="N10" i="2"/>
  <c r="I10" i="2"/>
  <c r="D10" i="2"/>
  <c r="W9" i="2"/>
  <c r="T9" i="2"/>
  <c r="Q9" i="2"/>
  <c r="N9" i="2"/>
  <c r="I9" i="2"/>
  <c r="D9" i="2"/>
  <c r="W8" i="2"/>
  <c r="T8" i="2"/>
  <c r="Q8" i="2"/>
  <c r="N8" i="2"/>
  <c r="I8" i="2"/>
  <c r="D8" i="2"/>
  <c r="W7" i="2"/>
  <c r="T7" i="2"/>
  <c r="Q7" i="2"/>
  <c r="N7" i="2"/>
  <c r="I7" i="2"/>
  <c r="D7" i="2"/>
  <c r="W6" i="2"/>
  <c r="T6" i="2"/>
  <c r="Q6" i="2"/>
  <c r="N6" i="2"/>
  <c r="I6" i="2"/>
  <c r="D6" i="2"/>
  <c r="N5" i="2"/>
  <c r="I5" i="2"/>
  <c r="D5" i="2"/>
  <c r="N4" i="2"/>
  <c r="I4" i="2"/>
  <c r="D4" i="2"/>
  <c r="N3" i="2"/>
  <c r="I3" i="2"/>
  <c r="D3" i="2"/>
  <c r="K48" i="1"/>
  <c r="K44" i="1"/>
  <c r="K61" i="1"/>
  <c r="K58" i="1"/>
</calcChain>
</file>

<file path=xl/sharedStrings.xml><?xml version="1.0" encoding="utf-8"?>
<sst xmlns="http://schemas.openxmlformats.org/spreadsheetml/2006/main" count="247" uniqueCount="130">
  <si>
    <t xml:space="preserve">Main Components of AASTMT Carbon Footprint </t>
  </si>
  <si>
    <t>Category</t>
  </si>
  <si>
    <t>Source of Emission / مصدر الإنبعاثات</t>
  </si>
  <si>
    <t>Description / الوصف التفصيلي</t>
  </si>
  <si>
    <t>Activity Data / نوع النشاط</t>
  </si>
  <si>
    <t>Existence / التواجد</t>
  </si>
  <si>
    <t>Data Unit / الوحدة</t>
  </si>
  <si>
    <t>Quantity / الكمية</t>
  </si>
  <si>
    <t>Scope 1</t>
  </si>
  <si>
    <t>Stationary Combustion</t>
  </si>
  <si>
    <t>Boilers / Water heaters</t>
  </si>
  <si>
    <t>إجمالي الوقود المستهلك في الغلايات او سخانات المياه التي تعمل بالوقود خلال العام</t>
  </si>
  <si>
    <t>Natural Gas</t>
  </si>
  <si>
    <t>m³</t>
  </si>
  <si>
    <t>Other fuel</t>
  </si>
  <si>
    <t>On-site Power Generators</t>
  </si>
  <si>
    <t>إجمالي الوقود المستهلك في مولدات القوى الكهربائية داخل المنشأة خلال العام</t>
  </si>
  <si>
    <t>Diesel</t>
  </si>
  <si>
    <t>L</t>
  </si>
  <si>
    <t>Gasoline</t>
  </si>
  <si>
    <t>Laboratory
 (lab burners and specialized combustion devices).</t>
  </si>
  <si>
    <t>استهلاك المعامل من الوقود خلال العام</t>
  </si>
  <si>
    <t>LPG</t>
  </si>
  <si>
    <t>Kg</t>
  </si>
  <si>
    <t>Campus Kitchens / Canteens</t>
  </si>
  <si>
    <t>إجمالي استهلاك الوقود السنوي في المطاعم/ المطابخ/ الكافيتريات ( المملوكة للمنشأة)</t>
  </si>
  <si>
    <t>Mobile Combustion</t>
  </si>
  <si>
    <t>Fuel burned in company-owned or controlled vehicles</t>
  </si>
  <si>
    <t>اجمالي استهلاك الوقود السنوي المستخدم في وسائل المواصلات المملوكة للاكاديمية فقط</t>
  </si>
  <si>
    <t>Natural gas</t>
  </si>
  <si>
    <t>Fugitive Emissions</t>
  </si>
  <si>
    <t>Refrigeration and Air Conditioning Systems
 Laboratory Gas Systems
 Fire Suppression Systems</t>
  </si>
  <si>
    <t>اجمالي غاز الفريون المستخدم خلال العام في عمليات الصيانة ( أجهزة تكييف/ثلاجات)</t>
  </si>
  <si>
    <t>R-134a</t>
  </si>
  <si>
    <t>R-410A</t>
  </si>
  <si>
    <t>R-407C</t>
  </si>
  <si>
    <t>Other</t>
  </si>
  <si>
    <t>Fire Suppression Systems</t>
  </si>
  <si>
    <t>اجمالي الانبعاثات المتسربة من طفايات الحريق خلال العام</t>
  </si>
  <si>
    <t>Laboratory Gas Systems</t>
  </si>
  <si>
    <t>اجمالي الانبعاثات المسربة للغازات من المعامل (كهربية/ طبية/ كيميائية/ ....)</t>
  </si>
  <si>
    <t>SF₆</t>
  </si>
  <si>
    <t>N₂O</t>
  </si>
  <si>
    <t>Scope 2</t>
  </si>
  <si>
    <t>Purchased Energy</t>
  </si>
  <si>
    <t>Purchased electricity</t>
  </si>
  <si>
    <t>أجمالي استهلاك الكهرباء من الشبكة الكهربية خلال العام</t>
  </si>
  <si>
    <t>KWh</t>
  </si>
  <si>
    <t>Purchased steam</t>
  </si>
  <si>
    <t>أجمالي استهلاك البخار من مصدر خارجي خلال العام</t>
  </si>
  <si>
    <t>Ton/GJ</t>
  </si>
  <si>
    <t>Purchased heating</t>
  </si>
  <si>
    <t>أجمالي استهلاك التدفئة من مصدر خارجي خلال العام</t>
  </si>
  <si>
    <t>KWh/GJ</t>
  </si>
  <si>
    <t>Purchased cooling</t>
  </si>
  <si>
    <t>أجمالي استهلاك التبريد من مصدر خارجي خلال العام</t>
  </si>
  <si>
    <t>KWh/ GJ</t>
  </si>
  <si>
    <t>Not Applicable</t>
  </si>
  <si>
    <t>-</t>
  </si>
  <si>
    <t>TR</t>
  </si>
  <si>
    <t xml:space="preserve">Ton of Refrigeration </t>
  </si>
  <si>
    <t>This data includes the three campuses: Smart Village</t>
  </si>
  <si>
    <t>Scope 3</t>
  </si>
  <si>
    <t>Consumable Purchased goods and services</t>
  </si>
  <si>
    <t>Papers Usage (Papers/Folders/Envelopes… etc)</t>
  </si>
  <si>
    <t>Paper</t>
  </si>
  <si>
    <t>Folders</t>
  </si>
  <si>
    <t>Unit</t>
  </si>
  <si>
    <t>Envelope</t>
  </si>
  <si>
    <t>Inks (Printer cartridges/ Toners… etc)</t>
  </si>
  <si>
    <t>Hygiene Supplies</t>
  </si>
  <si>
    <t>Soap</t>
  </si>
  <si>
    <t>Tissues</t>
  </si>
  <si>
    <t>Plastic Usage</t>
  </si>
  <si>
    <t>Food Consumption</t>
  </si>
  <si>
    <t>Capital Goods</t>
  </si>
  <si>
    <t>Furniture</t>
  </si>
  <si>
    <t>Appliances</t>
  </si>
  <si>
    <t>Facilities</t>
  </si>
  <si>
    <t>Fertilizers</t>
  </si>
  <si>
    <r>
      <t xml:space="preserve">Urea, Ammonium nitrate, Ammonium sulfate, Calcium ammonium nitrate (CAN), Anhydrous ammonia, </t>
    </r>
    <r>
      <rPr>
        <sz val="12"/>
        <color rgb="FF000000"/>
        <rFont val="Calibri"/>
        <family val="2"/>
      </rPr>
      <t>NPK, Compost.</t>
    </r>
  </si>
  <si>
    <t>Fuel &amp; Energy Related Emissions</t>
  </si>
  <si>
    <t>Electricity Transmission&amp;distribution (T&amp;D) losses</t>
  </si>
  <si>
    <t>Fuel transportation to your site</t>
  </si>
  <si>
    <t>Water Usage/Waste</t>
  </si>
  <si>
    <t xml:space="preserve">Annual Water Consumption </t>
  </si>
  <si>
    <t>Water Waste</t>
  </si>
  <si>
    <t>Annual Commuting</t>
  </si>
  <si>
    <t>Student Commuting</t>
  </si>
  <si>
    <t>Employee Commuting</t>
  </si>
  <si>
    <t xml:space="preserve">Waste </t>
  </si>
  <si>
    <t>Waste Disposal</t>
  </si>
  <si>
    <t>Waste Treatment</t>
  </si>
  <si>
    <t>Business travel</t>
  </si>
  <si>
    <t>Air Ticket</t>
  </si>
  <si>
    <t>Upstream transportation and distribution Purchased Goods</t>
  </si>
  <si>
    <t>Upstream Leased Assets</t>
  </si>
  <si>
    <t>Rented vehicles</t>
  </si>
  <si>
    <t>Rented office buildings</t>
  </si>
  <si>
    <t xml:space="preserve">Electricity </t>
  </si>
  <si>
    <t xml:space="preserve">Water  </t>
  </si>
  <si>
    <r>
      <t>m</t>
    </r>
    <r>
      <rPr>
        <vertAlign val="superscript"/>
        <sz val="11"/>
        <color rgb="FF000000"/>
        <rFont val="Times New Roman"/>
        <family val="1"/>
      </rPr>
      <t>3</t>
    </r>
  </si>
  <si>
    <t>km</t>
  </si>
  <si>
    <t>ton</t>
  </si>
  <si>
    <t>طفاية بودرة</t>
  </si>
  <si>
    <t>طفاية CO2</t>
  </si>
  <si>
    <t>مسحوق كيماوي جاف</t>
  </si>
  <si>
    <t>FM200</t>
  </si>
  <si>
    <t>paper</t>
  </si>
  <si>
    <t>Cartridges / Toner</t>
  </si>
  <si>
    <t>Tissue</t>
  </si>
  <si>
    <r>
      <t>m</t>
    </r>
    <r>
      <rPr>
        <vertAlign val="superscript"/>
        <sz val="11"/>
        <color rgb="FF000000"/>
        <rFont val="Times New Roman"/>
        <family val="1"/>
      </rPr>
      <t>2</t>
    </r>
  </si>
  <si>
    <t>Green Area (Grass cover)</t>
  </si>
  <si>
    <t>Meal</t>
  </si>
  <si>
    <t>Fuel used (Diesel)</t>
  </si>
  <si>
    <t>Pending ?</t>
  </si>
  <si>
    <t>Month</t>
  </si>
  <si>
    <t>Electricity (Kwh)</t>
  </si>
  <si>
    <t>Water (m3)</t>
  </si>
  <si>
    <t>Chilled Water (TR)</t>
  </si>
  <si>
    <t>Total</t>
  </si>
  <si>
    <t>2401-1</t>
  </si>
  <si>
    <t>2401-2</t>
  </si>
  <si>
    <t>Financial Year 2023/2024</t>
  </si>
  <si>
    <t>Electricity</t>
  </si>
  <si>
    <t>Cooling</t>
  </si>
  <si>
    <t xml:space="preserve">Water </t>
  </si>
  <si>
    <t>Total (kWh)</t>
  </si>
  <si>
    <t>Total (TR)</t>
  </si>
  <si>
    <t>Total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</si>
</sst>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34"/>
      <color rgb="FF274E13"/>
      <name val="Arial"/>
      <family val="2"/>
      <scheme val="minor"/>
    </font>
    <font>
      <sz val="10"/>
      <name val="Arial"/>
      <family val="2"/>
    </font>
    <font>
      <b/>
      <sz val="23"/>
      <color theme="1"/>
      <name val="Arial"/>
      <family val="2"/>
      <scheme val="minor"/>
    </font>
    <font>
      <b/>
      <sz val="15"/>
      <color theme="1"/>
      <name val="&quot;Times New Roman&quot;"/>
    </font>
    <font>
      <b/>
      <sz val="20"/>
      <color theme="1"/>
      <name val="&quot;Times New Roman&quot;"/>
    </font>
    <font>
      <sz val="11"/>
      <color theme="1"/>
      <name val="&quot;Times New Roman&quot;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8"/>
      <color theme="1"/>
      <name val="Arial"/>
      <family val="2"/>
      <charset val="1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354022"/>
        <bgColor rgb="FF354022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0000"/>
        <bgColor indexed="64"/>
      </patternFill>
    </fill>
  </fills>
  <borders count="28">
    <border>
      <left/>
      <right/>
      <top/>
      <bottom/>
      <diagonal/>
    </border>
    <border>
      <left style="thin">
        <color rgb="FF274E13"/>
      </left>
      <right/>
      <top style="thin">
        <color rgb="FF274E13"/>
      </top>
      <bottom/>
      <diagonal/>
    </border>
    <border>
      <left/>
      <right/>
      <top style="thin">
        <color rgb="FF274E13"/>
      </top>
      <bottom/>
      <diagonal/>
    </border>
    <border>
      <left/>
      <right style="thin">
        <color rgb="FF274E13"/>
      </right>
      <top style="thin">
        <color rgb="FF274E13"/>
      </top>
      <bottom/>
      <diagonal/>
    </border>
    <border>
      <left style="thin">
        <color rgb="FF274E13"/>
      </left>
      <right/>
      <top/>
      <bottom/>
      <diagonal/>
    </border>
    <border>
      <left/>
      <right style="thin">
        <color rgb="FF274E13"/>
      </right>
      <top/>
      <bottom/>
      <diagonal/>
    </border>
    <border>
      <left style="thin">
        <color rgb="FF274E13"/>
      </left>
      <right/>
      <top/>
      <bottom style="thin">
        <color rgb="FF274E13"/>
      </bottom>
      <diagonal/>
    </border>
    <border>
      <left/>
      <right/>
      <top/>
      <bottom style="thin">
        <color rgb="FF274E13"/>
      </bottom>
      <diagonal/>
    </border>
    <border>
      <left/>
      <right style="thin">
        <color rgb="FF274E13"/>
      </right>
      <top/>
      <bottom style="thin">
        <color rgb="FF274E1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4" xfId="0" applyFont="1" applyBorder="1"/>
    <xf numFmtId="0" fontId="1" fillId="2" borderId="0" xfId="0" applyFont="1" applyFill="1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4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0" borderId="16" xfId="0" applyFont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3" fillId="0" borderId="16" xfId="0" applyFont="1" applyFill="1" applyBorder="1"/>
    <xf numFmtId="0" fontId="3" fillId="0" borderId="16" xfId="0" applyFont="1" applyFill="1" applyBorder="1" applyAlignment="1">
      <alignment wrapText="1"/>
    </xf>
    <xf numFmtId="0" fontId="1" fillId="0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0" fillId="0" borderId="16" xfId="0" applyBorder="1"/>
    <xf numFmtId="0" fontId="12" fillId="0" borderId="16" xfId="0" applyFont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2" fillId="5" borderId="16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12" fillId="5" borderId="16" xfId="0" applyFont="1" applyFill="1" applyBorder="1" applyAlignment="1">
      <alignment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0" xfId="0" applyFont="1"/>
    <xf numFmtId="0" fontId="14" fillId="0" borderId="1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7" fontId="14" fillId="0" borderId="16" xfId="0" applyNumberFormat="1" applyFont="1" applyBorder="1" applyAlignment="1">
      <alignment horizontal="center" vertical="center"/>
    </xf>
    <xf numFmtId="4" fontId="14" fillId="0" borderId="16" xfId="0" applyNumberFormat="1" applyFont="1" applyBorder="1" applyAlignment="1">
      <alignment horizontal="center" vertical="center"/>
    </xf>
    <xf numFmtId="0" fontId="15" fillId="6" borderId="23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7" fontId="16" fillId="6" borderId="24" xfId="0" applyNumberFormat="1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285750" cy="200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C2:K69"/>
  <sheetViews>
    <sheetView tabSelected="1" topLeftCell="D28" zoomScale="85" zoomScaleNormal="85" workbookViewId="0">
      <selection activeCell="G59" sqref="G59"/>
    </sheetView>
  </sheetViews>
  <sheetFormatPr defaultColWidth="12.6640625" defaultRowHeight="15.75" customHeight="1"/>
  <cols>
    <col min="4" max="4" width="15.77734375" bestFit="1" customWidth="1"/>
    <col min="5" max="5" width="36" bestFit="1" customWidth="1"/>
    <col min="6" max="6" width="55.88671875" customWidth="1"/>
    <col min="7" max="7" width="60.109375" customWidth="1"/>
    <col min="8" max="8" width="23.33203125" customWidth="1"/>
    <col min="9" max="9" width="16.88671875" customWidth="1"/>
    <col min="10" max="10" width="16" customWidth="1"/>
    <col min="11" max="11" width="13.44140625" bestFit="1" customWidth="1"/>
  </cols>
  <sheetData>
    <row r="2" spans="3:11" ht="14.25" customHeight="1"/>
    <row r="3" spans="3:11" ht="18" customHeight="1"/>
    <row r="4" spans="3:11" ht="13.2">
      <c r="C4" s="2"/>
      <c r="D4" s="3"/>
    </row>
    <row r="5" spans="3:11" ht="13.2">
      <c r="C5" s="3"/>
      <c r="D5" s="3"/>
      <c r="F5" s="4" t="s">
        <v>0</v>
      </c>
      <c r="G5" s="5"/>
      <c r="H5" s="5"/>
      <c r="I5" s="5"/>
      <c r="J5" s="6"/>
    </row>
    <row r="6" spans="3:11" ht="13.2">
      <c r="C6" s="3"/>
      <c r="D6" s="3"/>
      <c r="F6" s="7"/>
      <c r="G6" s="3"/>
      <c r="H6" s="3"/>
      <c r="I6" s="3"/>
      <c r="J6" s="8"/>
    </row>
    <row r="7" spans="3:11" ht="13.2">
      <c r="C7" s="3"/>
      <c r="D7" s="3"/>
      <c r="F7" s="7"/>
      <c r="G7" s="3"/>
      <c r="H7" s="3"/>
      <c r="I7" s="3"/>
      <c r="J7" s="8"/>
    </row>
    <row r="8" spans="3:11" ht="13.2">
      <c r="C8" s="3"/>
      <c r="D8" s="3"/>
      <c r="F8" s="9"/>
      <c r="G8" s="10"/>
      <c r="H8" s="10"/>
      <c r="I8" s="10"/>
      <c r="J8" s="11"/>
    </row>
    <row r="9" spans="3:11" ht="15.75" customHeight="1">
      <c r="C9" s="3"/>
      <c r="D9" s="3"/>
    </row>
    <row r="10" spans="3:11" ht="13.2">
      <c r="C10" s="3"/>
      <c r="D10" s="3"/>
      <c r="F10" s="12" t="s">
        <v>61</v>
      </c>
      <c r="G10" s="13"/>
      <c r="H10" s="13"/>
      <c r="I10" s="13"/>
      <c r="J10" s="14"/>
    </row>
    <row r="11" spans="3:11" ht="13.2">
      <c r="C11" s="3"/>
      <c r="D11" s="3"/>
      <c r="F11" s="15"/>
      <c r="G11" s="16"/>
      <c r="H11" s="16"/>
      <c r="I11" s="16"/>
      <c r="J11" s="1"/>
    </row>
    <row r="13" spans="3:11" ht="38.4">
      <c r="D13" s="17"/>
      <c r="E13" s="18" t="s">
        <v>1</v>
      </c>
      <c r="F13" s="18" t="s">
        <v>2</v>
      </c>
      <c r="G13" s="18" t="s">
        <v>3</v>
      </c>
      <c r="H13" s="19" t="s">
        <v>4</v>
      </c>
      <c r="I13" s="19" t="s">
        <v>5</v>
      </c>
      <c r="J13" s="19" t="s">
        <v>6</v>
      </c>
      <c r="K13" s="19" t="s">
        <v>7</v>
      </c>
    </row>
    <row r="14" spans="3:11" ht="13.8">
      <c r="D14" s="20" t="s">
        <v>8</v>
      </c>
      <c r="E14" s="21" t="s">
        <v>9</v>
      </c>
      <c r="F14" s="22" t="s">
        <v>10</v>
      </c>
      <c r="G14" s="22" t="s">
        <v>11</v>
      </c>
      <c r="H14" s="23" t="s">
        <v>12</v>
      </c>
      <c r="I14" s="24" t="s">
        <v>57</v>
      </c>
      <c r="J14" s="23" t="s">
        <v>13</v>
      </c>
      <c r="K14" s="25" t="s">
        <v>58</v>
      </c>
    </row>
    <row r="15" spans="3:11" ht="13.8">
      <c r="D15" s="26"/>
      <c r="E15" s="27"/>
      <c r="F15" s="26"/>
      <c r="G15" s="26"/>
      <c r="H15" s="23" t="s">
        <v>14</v>
      </c>
      <c r="I15" s="24" t="s">
        <v>57</v>
      </c>
      <c r="J15" s="24"/>
      <c r="K15" s="25" t="s">
        <v>58</v>
      </c>
    </row>
    <row r="16" spans="3:11" ht="13.8">
      <c r="D16" s="26"/>
      <c r="E16" s="27"/>
      <c r="F16" s="22" t="s">
        <v>15</v>
      </c>
      <c r="G16" s="22" t="s">
        <v>16</v>
      </c>
      <c r="H16" s="23" t="s">
        <v>12</v>
      </c>
      <c r="I16" s="24" t="s">
        <v>57</v>
      </c>
      <c r="J16" s="23" t="s">
        <v>13</v>
      </c>
      <c r="K16" s="25" t="s">
        <v>58</v>
      </c>
    </row>
    <row r="17" spans="4:11" ht="13.8">
      <c r="D17" s="26"/>
      <c r="E17" s="27"/>
      <c r="F17" s="26"/>
      <c r="G17" s="26"/>
      <c r="H17" s="23" t="s">
        <v>17</v>
      </c>
      <c r="I17" s="24"/>
      <c r="J17" s="23" t="s">
        <v>18</v>
      </c>
      <c r="K17" s="25">
        <v>3000</v>
      </c>
    </row>
    <row r="18" spans="4:11" ht="13.8">
      <c r="D18" s="26"/>
      <c r="E18" s="27"/>
      <c r="F18" s="26"/>
      <c r="G18" s="26"/>
      <c r="H18" s="23" t="s">
        <v>19</v>
      </c>
      <c r="I18" s="24" t="s">
        <v>57</v>
      </c>
      <c r="J18" s="23" t="s">
        <v>18</v>
      </c>
      <c r="K18" s="25" t="s">
        <v>58</v>
      </c>
    </row>
    <row r="19" spans="4:11" ht="13.8">
      <c r="D19" s="26"/>
      <c r="E19" s="27"/>
      <c r="F19" s="21" t="s">
        <v>20</v>
      </c>
      <c r="G19" s="22" t="s">
        <v>21</v>
      </c>
      <c r="H19" s="23" t="s">
        <v>12</v>
      </c>
      <c r="I19" s="24" t="s">
        <v>57</v>
      </c>
      <c r="J19" s="23" t="s">
        <v>13</v>
      </c>
      <c r="K19" s="25" t="s">
        <v>58</v>
      </c>
    </row>
    <row r="20" spans="4:11" ht="13.8">
      <c r="D20" s="26"/>
      <c r="E20" s="27"/>
      <c r="F20" s="27"/>
      <c r="G20" s="26"/>
      <c r="H20" s="23" t="s">
        <v>17</v>
      </c>
      <c r="I20" s="24" t="s">
        <v>57</v>
      </c>
      <c r="J20" s="23" t="s">
        <v>18</v>
      </c>
      <c r="K20" s="25" t="s">
        <v>58</v>
      </c>
    </row>
    <row r="21" spans="4:11" ht="13.8">
      <c r="D21" s="26"/>
      <c r="E21" s="27"/>
      <c r="F21" s="27"/>
      <c r="G21" s="26"/>
      <c r="H21" s="23" t="s">
        <v>19</v>
      </c>
      <c r="I21" s="24" t="s">
        <v>57</v>
      </c>
      <c r="J21" s="23" t="s">
        <v>18</v>
      </c>
      <c r="K21" s="25" t="s">
        <v>58</v>
      </c>
    </row>
    <row r="22" spans="4:11" ht="13.8">
      <c r="D22" s="26"/>
      <c r="E22" s="27"/>
      <c r="F22" s="27"/>
      <c r="G22" s="26"/>
      <c r="H22" s="23" t="s">
        <v>22</v>
      </c>
      <c r="I22" s="24" t="s">
        <v>57</v>
      </c>
      <c r="J22" s="23" t="s">
        <v>23</v>
      </c>
      <c r="K22" s="25" t="s">
        <v>58</v>
      </c>
    </row>
    <row r="23" spans="4:11" ht="13.8">
      <c r="D23" s="26"/>
      <c r="E23" s="27"/>
      <c r="F23" s="22" t="s">
        <v>24</v>
      </c>
      <c r="G23" s="22" t="s">
        <v>25</v>
      </c>
      <c r="H23" s="23" t="s">
        <v>12</v>
      </c>
      <c r="I23" s="24" t="s">
        <v>57</v>
      </c>
      <c r="J23" s="23" t="s">
        <v>13</v>
      </c>
      <c r="K23" s="25" t="s">
        <v>58</v>
      </c>
    </row>
    <row r="24" spans="4:11" ht="13.8">
      <c r="D24" s="26"/>
      <c r="E24" s="27"/>
      <c r="F24" s="26"/>
      <c r="G24" s="26"/>
      <c r="H24" s="23" t="s">
        <v>22</v>
      </c>
      <c r="I24" s="24" t="s">
        <v>57</v>
      </c>
      <c r="J24" s="23" t="s">
        <v>23</v>
      </c>
      <c r="K24" s="25" t="s">
        <v>58</v>
      </c>
    </row>
    <row r="25" spans="4:11" ht="13.8">
      <c r="D25" s="26"/>
      <c r="E25" s="21" t="s">
        <v>26</v>
      </c>
      <c r="F25" s="22" t="s">
        <v>27</v>
      </c>
      <c r="G25" s="21" t="s">
        <v>28</v>
      </c>
      <c r="H25" s="23" t="s">
        <v>19</v>
      </c>
      <c r="I25" s="24" t="s">
        <v>57</v>
      </c>
      <c r="J25" s="23" t="s">
        <v>18</v>
      </c>
      <c r="K25" s="25" t="s">
        <v>58</v>
      </c>
    </row>
    <row r="26" spans="4:11" ht="13.8">
      <c r="D26" s="26"/>
      <c r="E26" s="27"/>
      <c r="F26" s="26"/>
      <c r="G26" s="27"/>
      <c r="H26" s="23" t="s">
        <v>17</v>
      </c>
      <c r="I26" s="28"/>
      <c r="J26" s="23" t="s">
        <v>18</v>
      </c>
      <c r="K26" s="29">
        <v>5161</v>
      </c>
    </row>
    <row r="27" spans="4:11" ht="13.8">
      <c r="D27" s="26"/>
      <c r="E27" s="27"/>
      <c r="F27" s="26"/>
      <c r="G27" s="27"/>
      <c r="H27" s="23" t="s">
        <v>29</v>
      </c>
      <c r="I27" s="24" t="s">
        <v>57</v>
      </c>
      <c r="J27" s="23" t="s">
        <v>13</v>
      </c>
      <c r="K27" s="25" t="s">
        <v>58</v>
      </c>
    </row>
    <row r="28" spans="4:11" ht="13.8">
      <c r="D28" s="26"/>
      <c r="E28" s="21" t="s">
        <v>30</v>
      </c>
      <c r="F28" s="21" t="s">
        <v>31</v>
      </c>
      <c r="G28" s="21" t="s">
        <v>32</v>
      </c>
      <c r="H28" s="23" t="s">
        <v>33</v>
      </c>
      <c r="I28" s="28" t="s">
        <v>57</v>
      </c>
      <c r="J28" s="23" t="s">
        <v>23</v>
      </c>
      <c r="K28" s="29" t="s">
        <v>58</v>
      </c>
    </row>
    <row r="29" spans="4:11" ht="13.8">
      <c r="D29" s="26"/>
      <c r="E29" s="27"/>
      <c r="F29" s="27"/>
      <c r="G29" s="27"/>
      <c r="H29" s="23" t="s">
        <v>34</v>
      </c>
      <c r="I29" s="28" t="s">
        <v>57</v>
      </c>
      <c r="J29" s="23" t="s">
        <v>23</v>
      </c>
      <c r="K29" s="29" t="s">
        <v>58</v>
      </c>
    </row>
    <row r="30" spans="4:11" ht="13.8">
      <c r="D30" s="26"/>
      <c r="E30" s="27"/>
      <c r="F30" s="27"/>
      <c r="G30" s="27"/>
      <c r="H30" s="23" t="s">
        <v>35</v>
      </c>
      <c r="I30" s="28" t="s">
        <v>57</v>
      </c>
      <c r="J30" s="23" t="s">
        <v>23</v>
      </c>
      <c r="K30" s="29" t="s">
        <v>58</v>
      </c>
    </row>
    <row r="31" spans="4:11" ht="13.8">
      <c r="D31" s="26"/>
      <c r="E31" s="27"/>
      <c r="F31" s="27"/>
      <c r="G31" s="27"/>
      <c r="H31" s="23" t="s">
        <v>36</v>
      </c>
      <c r="I31" s="28" t="s">
        <v>57</v>
      </c>
      <c r="J31" s="23" t="s">
        <v>23</v>
      </c>
      <c r="K31" s="29" t="s">
        <v>58</v>
      </c>
    </row>
    <row r="32" spans="4:11" ht="13.8">
      <c r="D32" s="26"/>
      <c r="E32" s="27"/>
      <c r="F32" s="22" t="s">
        <v>37</v>
      </c>
      <c r="G32" s="22" t="s">
        <v>38</v>
      </c>
      <c r="H32" s="23" t="s">
        <v>104</v>
      </c>
      <c r="I32" s="28"/>
      <c r="J32" s="23" t="s">
        <v>23</v>
      </c>
      <c r="K32" s="29">
        <v>246</v>
      </c>
    </row>
    <row r="33" spans="4:11" ht="13.8">
      <c r="D33" s="26"/>
      <c r="E33" s="27"/>
      <c r="F33" s="22"/>
      <c r="G33" s="22"/>
      <c r="H33" s="23" t="s">
        <v>105</v>
      </c>
      <c r="I33" s="28"/>
      <c r="J33" s="23" t="s">
        <v>23</v>
      </c>
      <c r="K33" s="29">
        <v>590</v>
      </c>
    </row>
    <row r="34" spans="4:11" ht="13.8">
      <c r="D34" s="26"/>
      <c r="E34" s="27"/>
      <c r="F34" s="22"/>
      <c r="G34" s="22"/>
      <c r="H34" s="23" t="s">
        <v>106</v>
      </c>
      <c r="I34" s="28"/>
      <c r="J34" s="23" t="s">
        <v>23</v>
      </c>
      <c r="K34" s="29">
        <v>12</v>
      </c>
    </row>
    <row r="35" spans="4:11" ht="13.8">
      <c r="D35" s="26"/>
      <c r="E35" s="27"/>
      <c r="F35" s="26"/>
      <c r="G35" s="26"/>
      <c r="H35" s="23" t="s">
        <v>107</v>
      </c>
      <c r="I35" s="28"/>
      <c r="J35" s="23" t="s">
        <v>23</v>
      </c>
      <c r="K35" s="39" t="s">
        <v>115</v>
      </c>
    </row>
    <row r="36" spans="4:11" ht="13.8">
      <c r="D36" s="26"/>
      <c r="E36" s="27"/>
      <c r="F36" s="22" t="s">
        <v>39</v>
      </c>
      <c r="G36" s="22" t="s">
        <v>40</v>
      </c>
      <c r="H36" s="23" t="s">
        <v>41</v>
      </c>
      <c r="I36" s="28" t="s">
        <v>57</v>
      </c>
      <c r="J36" s="23" t="s">
        <v>23</v>
      </c>
      <c r="K36" s="29" t="s">
        <v>58</v>
      </c>
    </row>
    <row r="37" spans="4:11" ht="13.8">
      <c r="D37" s="26"/>
      <c r="E37" s="27"/>
      <c r="F37" s="26"/>
      <c r="G37" s="26"/>
      <c r="H37" s="23" t="s">
        <v>42</v>
      </c>
      <c r="I37" s="28" t="s">
        <v>57</v>
      </c>
      <c r="J37" s="23" t="s">
        <v>23</v>
      </c>
      <c r="K37" s="29" t="s">
        <v>58</v>
      </c>
    </row>
    <row r="38" spans="4:11" ht="13.8">
      <c r="D38" s="26"/>
      <c r="E38" s="27"/>
      <c r="F38" s="26"/>
      <c r="G38" s="26"/>
      <c r="H38" s="23" t="s">
        <v>36</v>
      </c>
      <c r="I38" s="28" t="s">
        <v>57</v>
      </c>
      <c r="J38" s="23" t="s">
        <v>23</v>
      </c>
      <c r="K38" s="29" t="s">
        <v>58</v>
      </c>
    </row>
    <row r="39" spans="4:11" ht="13.8">
      <c r="D39" s="20" t="s">
        <v>43</v>
      </c>
      <c r="E39" s="21" t="s">
        <v>44</v>
      </c>
      <c r="F39" s="23" t="s">
        <v>45</v>
      </c>
      <c r="G39" s="23" t="s">
        <v>46</v>
      </c>
      <c r="H39" s="23" t="s">
        <v>47</v>
      </c>
      <c r="I39" s="28"/>
      <c r="J39" s="23" t="s">
        <v>47</v>
      </c>
      <c r="K39" s="23">
        <v>2704187</v>
      </c>
    </row>
    <row r="40" spans="4:11" ht="13.8">
      <c r="D40" s="26"/>
      <c r="E40" s="27"/>
      <c r="F40" s="23" t="s">
        <v>48</v>
      </c>
      <c r="G40" s="23" t="s">
        <v>49</v>
      </c>
      <c r="H40" s="23" t="s">
        <v>50</v>
      </c>
      <c r="I40" s="29" t="s">
        <v>57</v>
      </c>
      <c r="J40" s="23" t="s">
        <v>50</v>
      </c>
      <c r="K40" s="23" t="s">
        <v>58</v>
      </c>
    </row>
    <row r="41" spans="4:11" ht="13.8">
      <c r="D41" s="26"/>
      <c r="E41" s="27"/>
      <c r="F41" s="23" t="s">
        <v>51</v>
      </c>
      <c r="G41" s="23" t="s">
        <v>52</v>
      </c>
      <c r="H41" s="23" t="s">
        <v>53</v>
      </c>
      <c r="I41" s="29" t="s">
        <v>57</v>
      </c>
      <c r="J41" s="23" t="s">
        <v>53</v>
      </c>
      <c r="K41" s="23" t="s">
        <v>58</v>
      </c>
    </row>
    <row r="42" spans="4:11" ht="13.8">
      <c r="D42" s="26"/>
      <c r="E42" s="27"/>
      <c r="F42" s="22" t="s">
        <v>54</v>
      </c>
      <c r="G42" s="22" t="s">
        <v>55</v>
      </c>
      <c r="H42" s="23" t="s">
        <v>56</v>
      </c>
      <c r="I42" s="29" t="s">
        <v>57</v>
      </c>
      <c r="J42" s="23" t="s">
        <v>56</v>
      </c>
      <c r="K42" s="23" t="s">
        <v>58</v>
      </c>
    </row>
    <row r="43" spans="4:11" ht="13.8">
      <c r="D43" s="26"/>
      <c r="E43" s="27"/>
      <c r="F43" s="26"/>
      <c r="G43" s="26"/>
      <c r="H43" s="23" t="s">
        <v>60</v>
      </c>
      <c r="I43" s="28"/>
      <c r="J43" s="23" t="s">
        <v>59</v>
      </c>
      <c r="K43" s="23">
        <v>1962093.2000000002</v>
      </c>
    </row>
    <row r="44" spans="4:11" ht="14.4" customHeight="1">
      <c r="D44" s="20" t="s">
        <v>62</v>
      </c>
      <c r="E44" s="30" t="s">
        <v>63</v>
      </c>
      <c r="F44" s="30" t="s">
        <v>64</v>
      </c>
      <c r="G44" s="31"/>
      <c r="H44" s="32" t="s">
        <v>65</v>
      </c>
      <c r="I44" s="32"/>
      <c r="J44" s="32" t="s">
        <v>108</v>
      </c>
      <c r="K44" s="32">
        <f>5000*500</f>
        <v>2500000</v>
      </c>
    </row>
    <row r="45" spans="4:11" ht="13.8">
      <c r="D45" s="20"/>
      <c r="E45" s="30"/>
      <c r="F45" s="30"/>
      <c r="G45" s="31"/>
      <c r="H45" s="32" t="s">
        <v>68</v>
      </c>
      <c r="I45" s="32"/>
      <c r="J45" s="32" t="s">
        <v>67</v>
      </c>
      <c r="K45" s="32">
        <v>50000</v>
      </c>
    </row>
    <row r="46" spans="4:11" ht="13.8">
      <c r="D46" s="20"/>
      <c r="E46" s="30"/>
      <c r="F46" s="32" t="s">
        <v>69</v>
      </c>
      <c r="G46" s="35"/>
      <c r="H46" s="32" t="s">
        <v>109</v>
      </c>
      <c r="I46" s="32"/>
      <c r="J46" s="32" t="s">
        <v>67</v>
      </c>
      <c r="K46" s="32">
        <v>400</v>
      </c>
    </row>
    <row r="47" spans="4:11" ht="13.8">
      <c r="D47" s="20"/>
      <c r="E47" s="30"/>
      <c r="F47" s="30" t="s">
        <v>70</v>
      </c>
      <c r="G47" s="31"/>
      <c r="H47" s="32" t="s">
        <v>71</v>
      </c>
      <c r="I47" s="32"/>
      <c r="J47" s="32" t="s">
        <v>18</v>
      </c>
      <c r="K47" s="32">
        <v>3600</v>
      </c>
    </row>
    <row r="48" spans="4:11" ht="13.8">
      <c r="D48" s="20"/>
      <c r="E48" s="30"/>
      <c r="F48" s="30"/>
      <c r="G48" s="31"/>
      <c r="H48" s="32" t="s">
        <v>72</v>
      </c>
      <c r="I48" s="32"/>
      <c r="J48" s="32" t="s">
        <v>110</v>
      </c>
      <c r="K48" s="32">
        <f>(4800*200)+(1000*400)+(200*1500)</f>
        <v>1660000</v>
      </c>
    </row>
    <row r="49" spans="4:11" ht="13.8">
      <c r="D49" s="20"/>
      <c r="E49" s="30"/>
      <c r="F49" s="32" t="s">
        <v>73</v>
      </c>
      <c r="G49" s="35"/>
      <c r="H49" s="32" t="s">
        <v>66</v>
      </c>
      <c r="I49" s="32"/>
      <c r="J49" s="32" t="s">
        <v>67</v>
      </c>
      <c r="K49" s="32">
        <v>2000</v>
      </c>
    </row>
    <row r="50" spans="4:11" ht="13.8">
      <c r="D50" s="20"/>
      <c r="E50" s="30"/>
      <c r="F50" s="40" t="s">
        <v>74</v>
      </c>
      <c r="G50" s="41"/>
      <c r="H50" s="32" t="s">
        <v>113</v>
      </c>
      <c r="I50" s="29"/>
      <c r="J50" s="32" t="s">
        <v>67</v>
      </c>
      <c r="K50" s="39" t="s">
        <v>115</v>
      </c>
    </row>
    <row r="51" spans="4:11" ht="14.4" customHeight="1">
      <c r="D51" s="20"/>
      <c r="E51" s="30" t="s">
        <v>75</v>
      </c>
      <c r="F51" s="32" t="s">
        <v>76</v>
      </c>
      <c r="G51" s="33"/>
      <c r="H51" s="32"/>
      <c r="I51" s="32"/>
      <c r="J51" s="32"/>
      <c r="K51" s="39" t="s">
        <v>115</v>
      </c>
    </row>
    <row r="52" spans="4:11" ht="13.8">
      <c r="D52" s="20"/>
      <c r="E52" s="30"/>
      <c r="F52" s="32" t="s">
        <v>77</v>
      </c>
      <c r="G52" s="33"/>
      <c r="H52" s="32"/>
      <c r="I52" s="32"/>
      <c r="J52" s="32"/>
      <c r="K52" s="39" t="s">
        <v>115</v>
      </c>
    </row>
    <row r="53" spans="4:11" ht="13.8">
      <c r="D53" s="20"/>
      <c r="E53" s="30"/>
      <c r="F53" s="32" t="s">
        <v>78</v>
      </c>
      <c r="G53" s="33"/>
      <c r="H53" s="32"/>
      <c r="I53" s="29" t="s">
        <v>57</v>
      </c>
      <c r="J53" s="32" t="s">
        <v>58</v>
      </c>
      <c r="K53" s="32" t="s">
        <v>58</v>
      </c>
    </row>
    <row r="54" spans="4:11" ht="29.4">
      <c r="D54" s="20"/>
      <c r="E54" s="32" t="s">
        <v>79</v>
      </c>
      <c r="F54" s="32" t="s">
        <v>80</v>
      </c>
      <c r="G54" s="33"/>
      <c r="H54" s="32" t="s">
        <v>112</v>
      </c>
      <c r="I54" s="32"/>
      <c r="J54" s="32" t="s">
        <v>111</v>
      </c>
      <c r="K54" s="32">
        <v>6000</v>
      </c>
    </row>
    <row r="55" spans="4:11" ht="13.8">
      <c r="D55" s="20"/>
      <c r="E55" s="30" t="s">
        <v>81</v>
      </c>
      <c r="F55" s="32" t="s">
        <v>82</v>
      </c>
      <c r="G55" s="33"/>
      <c r="H55" s="32"/>
      <c r="I55" s="29" t="s">
        <v>57</v>
      </c>
      <c r="J55" s="32" t="s">
        <v>58</v>
      </c>
      <c r="K55" s="32" t="s">
        <v>58</v>
      </c>
    </row>
    <row r="56" spans="4:11" ht="14.4" customHeight="1">
      <c r="D56" s="20"/>
      <c r="E56" s="30"/>
      <c r="F56" s="32" t="s">
        <v>83</v>
      </c>
      <c r="G56" s="33"/>
      <c r="H56" s="32"/>
      <c r="I56" s="29" t="s">
        <v>57</v>
      </c>
      <c r="J56" s="32" t="s">
        <v>58</v>
      </c>
      <c r="K56" s="32" t="s">
        <v>58</v>
      </c>
    </row>
    <row r="57" spans="4:11" ht="16.8">
      <c r="D57" s="20"/>
      <c r="E57" s="30" t="s">
        <v>84</v>
      </c>
      <c r="F57" s="32" t="s">
        <v>85</v>
      </c>
      <c r="G57" s="33"/>
      <c r="H57" s="32"/>
      <c r="I57" s="32"/>
      <c r="J57" s="32" t="s">
        <v>101</v>
      </c>
      <c r="K57" s="32">
        <v>11490</v>
      </c>
    </row>
    <row r="58" spans="4:11" ht="16.8">
      <c r="D58" s="20"/>
      <c r="E58" s="30"/>
      <c r="F58" s="32" t="s">
        <v>86</v>
      </c>
      <c r="G58" s="33"/>
      <c r="H58" s="32"/>
      <c r="I58" s="32"/>
      <c r="J58" s="32" t="s">
        <v>101</v>
      </c>
      <c r="K58" s="32">
        <f>0.9*K57</f>
        <v>10341</v>
      </c>
    </row>
    <row r="59" spans="4:11" ht="13.8">
      <c r="D59" s="20"/>
      <c r="E59" s="45" t="s">
        <v>87</v>
      </c>
      <c r="F59" s="46" t="s">
        <v>88</v>
      </c>
      <c r="G59" s="33"/>
      <c r="H59" s="32"/>
      <c r="I59" s="32"/>
      <c r="J59" s="32" t="s">
        <v>102</v>
      </c>
      <c r="K59" s="39" t="s">
        <v>115</v>
      </c>
    </row>
    <row r="60" spans="4:11" ht="13.8">
      <c r="D60" s="20"/>
      <c r="E60" s="45"/>
      <c r="F60" s="46" t="s">
        <v>89</v>
      </c>
      <c r="G60" s="33"/>
      <c r="H60" s="32"/>
      <c r="I60" s="32"/>
      <c r="J60" s="32" t="s">
        <v>102</v>
      </c>
      <c r="K60" s="39" t="s">
        <v>115</v>
      </c>
    </row>
    <row r="61" spans="4:11" ht="14.4" customHeight="1">
      <c r="D61" s="20"/>
      <c r="E61" s="30" t="s">
        <v>90</v>
      </c>
      <c r="F61" s="32" t="s">
        <v>91</v>
      </c>
      <c r="G61" s="33"/>
      <c r="H61" s="32"/>
      <c r="I61" s="32"/>
      <c r="J61" s="32" t="s">
        <v>103</v>
      </c>
      <c r="K61" s="32">
        <f>0.2*365</f>
        <v>73</v>
      </c>
    </row>
    <row r="62" spans="4:11" ht="13.8">
      <c r="D62" s="20"/>
      <c r="E62" s="30"/>
      <c r="F62" s="32" t="s">
        <v>92</v>
      </c>
      <c r="G62" s="33"/>
      <c r="H62" s="32"/>
      <c r="I62" s="29" t="s">
        <v>57</v>
      </c>
      <c r="J62" s="32" t="s">
        <v>58</v>
      </c>
      <c r="K62" s="32" t="s">
        <v>58</v>
      </c>
    </row>
    <row r="63" spans="4:11" ht="13.8">
      <c r="D63" s="20"/>
      <c r="E63" s="32" t="s">
        <v>93</v>
      </c>
      <c r="F63" s="42" t="s">
        <v>94</v>
      </c>
      <c r="G63" s="43"/>
      <c r="H63" s="42"/>
      <c r="I63" s="42"/>
      <c r="J63" s="42"/>
      <c r="K63" s="44"/>
    </row>
    <row r="64" spans="4:11" ht="27.6">
      <c r="D64" s="20"/>
      <c r="E64" s="32" t="s">
        <v>95</v>
      </c>
      <c r="F64" s="32"/>
      <c r="G64" s="33"/>
      <c r="H64" s="32"/>
      <c r="I64" s="29" t="s">
        <v>57</v>
      </c>
      <c r="J64" s="32" t="s">
        <v>58</v>
      </c>
      <c r="K64" s="32" t="s">
        <v>58</v>
      </c>
    </row>
    <row r="65" spans="4:11" ht="13.8">
      <c r="D65" s="20"/>
      <c r="E65" s="30" t="s">
        <v>96</v>
      </c>
      <c r="F65" s="32" t="s">
        <v>97</v>
      </c>
      <c r="G65" s="33"/>
      <c r="H65" s="32" t="s">
        <v>114</v>
      </c>
      <c r="I65" s="23"/>
      <c r="J65" s="32" t="s">
        <v>18</v>
      </c>
      <c r="K65" s="32">
        <v>12900</v>
      </c>
    </row>
    <row r="66" spans="4:11" ht="14.4" customHeight="1">
      <c r="D66" s="20"/>
      <c r="E66" s="30"/>
      <c r="F66" s="30" t="s">
        <v>98</v>
      </c>
      <c r="G66" s="36"/>
      <c r="H66" s="32" t="s">
        <v>99</v>
      </c>
      <c r="I66" s="29" t="s">
        <v>57</v>
      </c>
      <c r="J66" s="32"/>
      <c r="K66" s="34"/>
    </row>
    <row r="67" spans="4:11" ht="13.8">
      <c r="D67" s="20"/>
      <c r="E67" s="30"/>
      <c r="F67" s="30"/>
      <c r="G67" s="37"/>
      <c r="H67" s="32" t="s">
        <v>100</v>
      </c>
      <c r="I67" s="29" t="s">
        <v>57</v>
      </c>
      <c r="J67" s="32" t="s">
        <v>58</v>
      </c>
      <c r="K67" s="32" t="s">
        <v>58</v>
      </c>
    </row>
    <row r="68" spans="4:11" ht="13.8">
      <c r="D68" s="20"/>
      <c r="E68" s="30"/>
      <c r="F68" s="30"/>
      <c r="G68" s="38"/>
      <c r="H68" s="23" t="s">
        <v>17</v>
      </c>
      <c r="I68" s="29" t="s">
        <v>57</v>
      </c>
      <c r="J68" s="32" t="s">
        <v>58</v>
      </c>
      <c r="K68" s="32" t="s">
        <v>58</v>
      </c>
    </row>
    <row r="69" spans="4:11" ht="13.2"/>
  </sheetData>
  <mergeCells count="41">
    <mergeCell ref="G44:G45"/>
    <mergeCell ref="G47:G48"/>
    <mergeCell ref="G66:G68"/>
    <mergeCell ref="D44:D68"/>
    <mergeCell ref="E44:E50"/>
    <mergeCell ref="F44:F45"/>
    <mergeCell ref="F47:F48"/>
    <mergeCell ref="E51:E53"/>
    <mergeCell ref="E55:E56"/>
    <mergeCell ref="E57:E58"/>
    <mergeCell ref="E59:E60"/>
    <mergeCell ref="E61:E62"/>
    <mergeCell ref="E65:E68"/>
    <mergeCell ref="F66:F68"/>
    <mergeCell ref="E14:E24"/>
    <mergeCell ref="E28:E38"/>
    <mergeCell ref="D39:D43"/>
    <mergeCell ref="E39:E43"/>
    <mergeCell ref="F42:F43"/>
    <mergeCell ref="F28:F31"/>
    <mergeCell ref="G42:G43"/>
    <mergeCell ref="C4:D11"/>
    <mergeCell ref="F5:J8"/>
    <mergeCell ref="F10:J11"/>
    <mergeCell ref="D14:D38"/>
    <mergeCell ref="F14:F15"/>
    <mergeCell ref="G14:G15"/>
    <mergeCell ref="G25:G27"/>
    <mergeCell ref="F16:F18"/>
    <mergeCell ref="G16:G18"/>
    <mergeCell ref="F19:F22"/>
    <mergeCell ref="G19:G22"/>
    <mergeCell ref="F23:F24"/>
    <mergeCell ref="G23:G24"/>
    <mergeCell ref="E25:E27"/>
    <mergeCell ref="F25:F27"/>
    <mergeCell ref="G28:G31"/>
    <mergeCell ref="F32:F35"/>
    <mergeCell ref="G32:G35"/>
    <mergeCell ref="F36:F38"/>
    <mergeCell ref="G36:G38"/>
  </mergeCells>
  <pageMargins left="0.25" right="0.25" top="0.75" bottom="0.75" header="0.3" footer="0.3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E9DA-BEC2-484F-BCB4-6222E217ED9B}">
  <dimension ref="A1:AU32"/>
  <sheetViews>
    <sheetView workbookViewId="0">
      <selection activeCell="D8" sqref="D8"/>
    </sheetView>
  </sheetViews>
  <sheetFormatPr defaultRowHeight="22.8"/>
  <cols>
    <col min="1" max="1" width="12.5546875" style="53" bestFit="1" customWidth="1"/>
    <col min="2" max="3" width="12.77734375" style="49" bestFit="1" customWidth="1"/>
    <col min="4" max="4" width="12.77734375" style="53" bestFit="1" customWidth="1"/>
    <col min="5" max="5" width="11.21875" style="53" customWidth="1"/>
    <col min="6" max="6" width="12.5546875" style="53" bestFit="1" customWidth="1"/>
    <col min="7" max="7" width="7.109375" style="55" bestFit="1" customWidth="1"/>
    <col min="8" max="9" width="9" style="55" bestFit="1" customWidth="1"/>
    <col min="10" max="10" width="9.44140625" style="49" customWidth="1"/>
    <col min="11" max="11" width="12.5546875" style="53" bestFit="1" customWidth="1"/>
    <col min="12" max="13" width="18.5546875" style="55" bestFit="1" customWidth="1"/>
    <col min="14" max="14" width="18.6640625" style="66" bestFit="1" customWidth="1"/>
    <col min="15" max="15" width="8.88671875" style="53"/>
    <col min="16" max="16" width="18.5546875" style="53" bestFit="1" customWidth="1"/>
    <col min="17" max="17" width="12.88671875" style="53" bestFit="1" customWidth="1"/>
    <col min="18" max="18" width="8.88671875" style="53"/>
    <col min="19" max="19" width="16.5546875" style="53" bestFit="1" customWidth="1"/>
    <col min="20" max="20" width="16.33203125" style="53" bestFit="1" customWidth="1"/>
    <col min="21" max="21" width="8.88671875" style="53"/>
    <col min="22" max="22" width="16.21875" style="53" bestFit="1" customWidth="1"/>
    <col min="23" max="23" width="9.5546875" style="53" bestFit="1" customWidth="1"/>
    <col min="24" max="46" width="8.88671875" style="53"/>
    <col min="48" max="16384" width="8.88671875" style="53"/>
  </cols>
  <sheetData>
    <row r="1" spans="1:23">
      <c r="A1" s="47" t="s">
        <v>116</v>
      </c>
      <c r="B1" s="48" t="s">
        <v>117</v>
      </c>
      <c r="C1" s="48"/>
      <c r="D1" s="48"/>
      <c r="E1" s="49"/>
      <c r="F1" s="47" t="s">
        <v>116</v>
      </c>
      <c r="G1" s="50" t="s">
        <v>118</v>
      </c>
      <c r="H1" s="51"/>
      <c r="I1" s="52"/>
      <c r="K1" s="47" t="s">
        <v>116</v>
      </c>
      <c r="L1" s="48" t="s">
        <v>119</v>
      </c>
      <c r="M1" s="48"/>
      <c r="N1" s="48"/>
    </row>
    <row r="2" spans="1:23">
      <c r="A2" s="54"/>
      <c r="B2" s="55">
        <v>401</v>
      </c>
      <c r="C2" s="55">
        <v>2401</v>
      </c>
      <c r="D2" s="55" t="s">
        <v>120</v>
      </c>
      <c r="E2" s="49"/>
      <c r="F2" s="54"/>
      <c r="G2" s="55">
        <v>401</v>
      </c>
      <c r="H2" s="55">
        <v>2401</v>
      </c>
      <c r="I2" s="55" t="s">
        <v>120</v>
      </c>
      <c r="K2" s="54"/>
      <c r="L2" s="55" t="s">
        <v>121</v>
      </c>
      <c r="M2" s="55" t="s">
        <v>122</v>
      </c>
      <c r="N2" s="55" t="s">
        <v>120</v>
      </c>
    </row>
    <row r="3" spans="1:23" ht="23.4" thickBot="1">
      <c r="A3" s="56">
        <v>44927</v>
      </c>
      <c r="B3" s="55">
        <v>115382</v>
      </c>
      <c r="C3" s="55">
        <v>120610</v>
      </c>
      <c r="D3" s="55">
        <f>B3+C3</f>
        <v>235992</v>
      </c>
      <c r="E3" s="49"/>
      <c r="F3" s="56">
        <v>44927</v>
      </c>
      <c r="G3" s="55">
        <v>596</v>
      </c>
      <c r="H3" s="55">
        <v>777</v>
      </c>
      <c r="I3" s="55">
        <f>G3+H3</f>
        <v>1373</v>
      </c>
      <c r="K3" s="56">
        <v>44927</v>
      </c>
      <c r="L3" s="57">
        <v>12167.7</v>
      </c>
      <c r="M3" s="57">
        <v>8090.19</v>
      </c>
      <c r="N3" s="55">
        <f>L3+M3</f>
        <v>20257.89</v>
      </c>
    </row>
    <row r="4" spans="1:23" ht="23.4" thickBot="1">
      <c r="A4" s="56">
        <v>44958</v>
      </c>
      <c r="B4" s="55">
        <v>103340</v>
      </c>
      <c r="C4" s="55">
        <v>101343</v>
      </c>
      <c r="D4" s="55">
        <f t="shared" ref="D4:D30" si="0">B4+C4</f>
        <v>204683</v>
      </c>
      <c r="E4" s="49"/>
      <c r="F4" s="56">
        <v>44958</v>
      </c>
      <c r="G4" s="55">
        <v>597</v>
      </c>
      <c r="H4" s="55">
        <v>778</v>
      </c>
      <c r="I4" s="55">
        <f t="shared" ref="I4:I20" si="1">G4+H4</f>
        <v>1375</v>
      </c>
      <c r="K4" s="56">
        <v>44958</v>
      </c>
      <c r="L4" s="57">
        <v>10705.31</v>
      </c>
      <c r="M4" s="57">
        <v>4941.63</v>
      </c>
      <c r="N4" s="55">
        <f t="shared" ref="N4:N28" si="2">L4+M4</f>
        <v>15646.939999999999</v>
      </c>
      <c r="P4" s="58" t="s">
        <v>123</v>
      </c>
      <c r="Q4" s="59"/>
      <c r="R4" s="60"/>
      <c r="S4" s="58" t="s">
        <v>123</v>
      </c>
      <c r="T4" s="59"/>
      <c r="V4" s="58" t="s">
        <v>123</v>
      </c>
      <c r="W4" s="59"/>
    </row>
    <row r="5" spans="1:23" ht="23.4" thickBot="1">
      <c r="A5" s="56">
        <v>44986</v>
      </c>
      <c r="B5" s="55">
        <v>105927</v>
      </c>
      <c r="C5" s="55">
        <v>93214</v>
      </c>
      <c r="D5" s="55">
        <f t="shared" si="0"/>
        <v>199141</v>
      </c>
      <c r="E5" s="49"/>
      <c r="F5" s="56">
        <v>44986</v>
      </c>
      <c r="G5" s="55">
        <v>605</v>
      </c>
      <c r="H5" s="55">
        <v>675</v>
      </c>
      <c r="I5" s="55">
        <f t="shared" si="1"/>
        <v>1280</v>
      </c>
      <c r="K5" s="56">
        <v>44986</v>
      </c>
      <c r="L5" s="57">
        <v>48832.01</v>
      </c>
      <c r="M5" s="57">
        <v>42261.93</v>
      </c>
      <c r="N5" s="55">
        <f t="shared" si="2"/>
        <v>91093.94</v>
      </c>
      <c r="P5" s="58" t="s">
        <v>124</v>
      </c>
      <c r="Q5" s="59"/>
      <c r="R5" s="60"/>
      <c r="S5" s="58" t="s">
        <v>125</v>
      </c>
      <c r="T5" s="59"/>
      <c r="V5" s="58" t="s">
        <v>126</v>
      </c>
      <c r="W5" s="59"/>
    </row>
    <row r="6" spans="1:23">
      <c r="A6" s="56">
        <v>45017</v>
      </c>
      <c r="B6" s="55">
        <v>117759</v>
      </c>
      <c r="C6" s="55">
        <v>108461</v>
      </c>
      <c r="D6" s="55">
        <f t="shared" si="0"/>
        <v>226220</v>
      </c>
      <c r="E6" s="49"/>
      <c r="F6" s="56">
        <v>45017</v>
      </c>
      <c r="G6" s="55">
        <v>605</v>
      </c>
      <c r="H6" s="55">
        <v>675</v>
      </c>
      <c r="I6" s="55">
        <f t="shared" si="1"/>
        <v>1280</v>
      </c>
      <c r="K6" s="56">
        <v>45017</v>
      </c>
      <c r="L6" s="57">
        <v>44631.38</v>
      </c>
      <c r="M6" s="57">
        <v>38108.5</v>
      </c>
      <c r="N6" s="55">
        <f t="shared" si="2"/>
        <v>82739.88</v>
      </c>
      <c r="P6" s="61">
        <v>45108</v>
      </c>
      <c r="Q6" s="62">
        <f>D9</f>
        <v>284379</v>
      </c>
      <c r="R6" s="60"/>
      <c r="S6" s="61">
        <v>45108</v>
      </c>
      <c r="T6" s="62">
        <f>N9</f>
        <v>265430.78000000003</v>
      </c>
      <c r="V6" s="61">
        <v>45108</v>
      </c>
      <c r="W6" s="62">
        <f>I9</f>
        <v>958</v>
      </c>
    </row>
    <row r="7" spans="1:23">
      <c r="A7" s="56">
        <v>45047</v>
      </c>
      <c r="B7" s="55">
        <v>110347</v>
      </c>
      <c r="C7" s="55">
        <v>99877</v>
      </c>
      <c r="D7" s="55">
        <f t="shared" si="0"/>
        <v>210224</v>
      </c>
      <c r="E7" s="49"/>
      <c r="F7" s="56">
        <v>45047</v>
      </c>
      <c r="G7" s="55">
        <v>314</v>
      </c>
      <c r="H7" s="55">
        <v>393</v>
      </c>
      <c r="I7" s="55">
        <f t="shared" si="1"/>
        <v>707</v>
      </c>
      <c r="K7" s="56">
        <v>45047</v>
      </c>
      <c r="L7" s="57">
        <v>92111.9</v>
      </c>
      <c r="M7" s="57">
        <v>103376.23</v>
      </c>
      <c r="N7" s="55">
        <f t="shared" si="2"/>
        <v>195488.13</v>
      </c>
      <c r="P7" s="61">
        <v>45139</v>
      </c>
      <c r="Q7" s="62">
        <f t="shared" ref="Q7:Q17" si="3">D10</f>
        <v>233019</v>
      </c>
      <c r="R7" s="60"/>
      <c r="S7" s="61">
        <v>45139</v>
      </c>
      <c r="T7" s="62">
        <f t="shared" ref="T7:T17" si="4">N10</f>
        <v>295536.95999999996</v>
      </c>
      <c r="V7" s="61">
        <v>45139</v>
      </c>
      <c r="W7" s="62">
        <f t="shared" ref="W7:W17" si="5">I10</f>
        <v>959</v>
      </c>
    </row>
    <row r="8" spans="1:23">
      <c r="A8" s="56">
        <v>45078</v>
      </c>
      <c r="B8" s="55">
        <v>113346</v>
      </c>
      <c r="C8" s="55">
        <v>100961</v>
      </c>
      <c r="D8" s="55">
        <f t="shared" si="0"/>
        <v>214307</v>
      </c>
      <c r="E8" s="49"/>
      <c r="F8" s="56">
        <v>45078</v>
      </c>
      <c r="G8" s="55">
        <v>314</v>
      </c>
      <c r="H8" s="55">
        <v>393</v>
      </c>
      <c r="I8" s="55">
        <f t="shared" si="1"/>
        <v>707</v>
      </c>
      <c r="K8" s="56">
        <v>45078</v>
      </c>
      <c r="L8" s="57">
        <v>108327.54</v>
      </c>
      <c r="M8" s="57">
        <v>132851.60999999999</v>
      </c>
      <c r="N8" s="55">
        <f t="shared" si="2"/>
        <v>241179.14999999997</v>
      </c>
      <c r="P8" s="61">
        <v>45170</v>
      </c>
      <c r="Q8" s="62">
        <f t="shared" si="3"/>
        <v>248068</v>
      </c>
      <c r="R8" s="60"/>
      <c r="S8" s="61">
        <v>45170</v>
      </c>
      <c r="T8" s="62">
        <f t="shared" si="4"/>
        <v>225623.89</v>
      </c>
      <c r="V8" s="61">
        <v>45170</v>
      </c>
      <c r="W8" s="62">
        <f t="shared" si="5"/>
        <v>980</v>
      </c>
    </row>
    <row r="9" spans="1:23">
      <c r="A9" s="56">
        <v>45108</v>
      </c>
      <c r="B9" s="55">
        <v>135858</v>
      </c>
      <c r="C9" s="55">
        <v>148521</v>
      </c>
      <c r="D9" s="55">
        <f t="shared" si="0"/>
        <v>284379</v>
      </c>
      <c r="E9" s="49"/>
      <c r="F9" s="56">
        <v>45108</v>
      </c>
      <c r="G9" s="55">
        <v>390</v>
      </c>
      <c r="H9" s="55">
        <v>568</v>
      </c>
      <c r="I9" s="55">
        <f t="shared" si="1"/>
        <v>958</v>
      </c>
      <c r="K9" s="56">
        <v>45108</v>
      </c>
      <c r="L9" s="57">
        <v>123137.37</v>
      </c>
      <c r="M9" s="57">
        <v>142293.41</v>
      </c>
      <c r="N9" s="55">
        <f t="shared" si="2"/>
        <v>265430.78000000003</v>
      </c>
      <c r="P9" s="61">
        <v>45200</v>
      </c>
      <c r="Q9" s="62">
        <f t="shared" si="3"/>
        <v>264041</v>
      </c>
      <c r="R9" s="60"/>
      <c r="S9" s="61">
        <v>45200</v>
      </c>
      <c r="T9" s="62">
        <f t="shared" si="4"/>
        <v>222199.8</v>
      </c>
      <c r="V9" s="61">
        <v>45200</v>
      </c>
      <c r="W9" s="62">
        <f t="shared" si="5"/>
        <v>980</v>
      </c>
    </row>
    <row r="10" spans="1:23">
      <c r="A10" s="56">
        <v>45139</v>
      </c>
      <c r="B10" s="55">
        <v>112649</v>
      </c>
      <c r="C10" s="55">
        <v>120370</v>
      </c>
      <c r="D10" s="55">
        <f t="shared" si="0"/>
        <v>233019</v>
      </c>
      <c r="E10" s="49"/>
      <c r="F10" s="56">
        <v>45139</v>
      </c>
      <c r="G10" s="55">
        <v>390</v>
      </c>
      <c r="H10" s="55">
        <v>569</v>
      </c>
      <c r="I10" s="55">
        <f t="shared" si="1"/>
        <v>959</v>
      </c>
      <c r="K10" s="56">
        <v>45139</v>
      </c>
      <c r="L10" s="57">
        <v>145725.18</v>
      </c>
      <c r="M10" s="57">
        <v>149811.78</v>
      </c>
      <c r="N10" s="55">
        <f t="shared" si="2"/>
        <v>295536.95999999996</v>
      </c>
      <c r="P10" s="61">
        <v>45231</v>
      </c>
      <c r="Q10" s="62">
        <f t="shared" si="3"/>
        <v>233830</v>
      </c>
      <c r="R10" s="60"/>
      <c r="S10" s="61">
        <v>45231</v>
      </c>
      <c r="T10" s="62">
        <f t="shared" si="4"/>
        <v>152650.97999999998</v>
      </c>
      <c r="V10" s="61">
        <v>45231</v>
      </c>
      <c r="W10" s="62">
        <f t="shared" si="5"/>
        <v>1308</v>
      </c>
    </row>
    <row r="11" spans="1:23">
      <c r="A11" s="56">
        <v>45170</v>
      </c>
      <c r="B11" s="55">
        <v>120814</v>
      </c>
      <c r="C11" s="55">
        <v>127254</v>
      </c>
      <c r="D11" s="55">
        <f t="shared" si="0"/>
        <v>248068</v>
      </c>
      <c r="E11" s="49"/>
      <c r="F11" s="56">
        <v>45170</v>
      </c>
      <c r="G11" s="55">
        <v>388</v>
      </c>
      <c r="H11" s="55">
        <v>592</v>
      </c>
      <c r="I11" s="55">
        <f t="shared" si="1"/>
        <v>980</v>
      </c>
      <c r="K11" s="56">
        <v>45170</v>
      </c>
      <c r="L11" s="57">
        <v>111631.06</v>
      </c>
      <c r="M11" s="57">
        <v>113992.83</v>
      </c>
      <c r="N11" s="55">
        <f t="shared" si="2"/>
        <v>225623.89</v>
      </c>
      <c r="P11" s="61">
        <v>45261</v>
      </c>
      <c r="Q11" s="62">
        <f t="shared" si="3"/>
        <v>257163</v>
      </c>
      <c r="R11" s="60"/>
      <c r="S11" s="61">
        <v>45261</v>
      </c>
      <c r="T11" s="62">
        <f t="shared" si="4"/>
        <v>76000.34</v>
      </c>
      <c r="V11" s="61">
        <v>45261</v>
      </c>
      <c r="W11" s="62">
        <f t="shared" si="5"/>
        <v>1308</v>
      </c>
    </row>
    <row r="12" spans="1:23">
      <c r="A12" s="56">
        <v>45200</v>
      </c>
      <c r="B12" s="55">
        <v>126386</v>
      </c>
      <c r="C12" s="55">
        <v>137655</v>
      </c>
      <c r="D12" s="55">
        <f t="shared" si="0"/>
        <v>264041</v>
      </c>
      <c r="E12" s="49"/>
      <c r="F12" s="56">
        <v>45200</v>
      </c>
      <c r="G12" s="55">
        <v>388</v>
      </c>
      <c r="H12" s="55">
        <v>592</v>
      </c>
      <c r="I12" s="55">
        <f t="shared" si="1"/>
        <v>980</v>
      </c>
      <c r="K12" s="56">
        <v>45200</v>
      </c>
      <c r="L12" s="57">
        <v>107347.68</v>
      </c>
      <c r="M12" s="57">
        <v>114852.12</v>
      </c>
      <c r="N12" s="55">
        <f t="shared" si="2"/>
        <v>222199.8</v>
      </c>
      <c r="P12" s="61">
        <v>45292</v>
      </c>
      <c r="Q12" s="62">
        <f t="shared" si="3"/>
        <v>232689</v>
      </c>
      <c r="R12" s="60"/>
      <c r="S12" s="61">
        <v>45292</v>
      </c>
      <c r="T12" s="62">
        <f t="shared" si="4"/>
        <v>58388.29</v>
      </c>
      <c r="V12" s="61">
        <v>45292</v>
      </c>
      <c r="W12" s="62">
        <f t="shared" si="5"/>
        <v>850</v>
      </c>
    </row>
    <row r="13" spans="1:23">
      <c r="A13" s="56">
        <v>45231</v>
      </c>
      <c r="B13" s="55">
        <v>112837</v>
      </c>
      <c r="C13" s="55">
        <v>120993</v>
      </c>
      <c r="D13" s="55">
        <f t="shared" si="0"/>
        <v>233830</v>
      </c>
      <c r="E13" s="49"/>
      <c r="F13" s="56">
        <v>45231</v>
      </c>
      <c r="G13" s="55">
        <v>570</v>
      </c>
      <c r="H13" s="55">
        <v>738</v>
      </c>
      <c r="I13" s="55">
        <f t="shared" si="1"/>
        <v>1308</v>
      </c>
      <c r="K13" s="56">
        <v>45231</v>
      </c>
      <c r="L13" s="57">
        <v>76780.3</v>
      </c>
      <c r="M13" s="57">
        <v>75870.679999999993</v>
      </c>
      <c r="N13" s="55">
        <f t="shared" si="2"/>
        <v>152650.97999999998</v>
      </c>
      <c r="P13" s="61">
        <v>45323</v>
      </c>
      <c r="Q13" s="62">
        <f t="shared" si="3"/>
        <v>199364</v>
      </c>
      <c r="R13" s="60"/>
      <c r="S13" s="61">
        <v>45323</v>
      </c>
      <c r="T13" s="62">
        <f t="shared" si="4"/>
        <v>56704.39</v>
      </c>
      <c r="V13" s="61">
        <v>45323</v>
      </c>
      <c r="W13" s="62">
        <f t="shared" si="5"/>
        <v>850</v>
      </c>
    </row>
    <row r="14" spans="1:23">
      <c r="A14" s="56">
        <v>45261</v>
      </c>
      <c r="B14" s="55">
        <v>117790</v>
      </c>
      <c r="C14" s="55">
        <v>139373</v>
      </c>
      <c r="D14" s="55">
        <f t="shared" si="0"/>
        <v>257163</v>
      </c>
      <c r="E14" s="49"/>
      <c r="F14" s="56">
        <v>45261</v>
      </c>
      <c r="G14" s="55">
        <v>570</v>
      </c>
      <c r="H14" s="55">
        <v>738</v>
      </c>
      <c r="I14" s="55">
        <f t="shared" si="1"/>
        <v>1308</v>
      </c>
      <c r="K14" s="56">
        <v>45261</v>
      </c>
      <c r="L14" s="57">
        <v>37742.269999999997</v>
      </c>
      <c r="M14" s="57">
        <v>38258.07</v>
      </c>
      <c r="N14" s="55">
        <f t="shared" si="2"/>
        <v>76000.34</v>
      </c>
      <c r="P14" s="61">
        <v>45352</v>
      </c>
      <c r="Q14" s="62">
        <f t="shared" si="3"/>
        <v>194412</v>
      </c>
      <c r="R14" s="60"/>
      <c r="S14" s="61">
        <v>45352</v>
      </c>
      <c r="T14" s="62">
        <f t="shared" si="4"/>
        <v>68982.7</v>
      </c>
      <c r="V14" s="61">
        <v>45352</v>
      </c>
      <c r="W14" s="62">
        <f t="shared" si="5"/>
        <v>822</v>
      </c>
    </row>
    <row r="15" spans="1:23">
      <c r="A15" s="56">
        <v>45292</v>
      </c>
      <c r="B15" s="55">
        <v>111359</v>
      </c>
      <c r="C15" s="55">
        <v>121330</v>
      </c>
      <c r="D15" s="55">
        <f t="shared" si="0"/>
        <v>232689</v>
      </c>
      <c r="E15" s="49"/>
      <c r="F15" s="56">
        <v>45292</v>
      </c>
      <c r="G15" s="55">
        <v>370</v>
      </c>
      <c r="H15" s="55">
        <v>480</v>
      </c>
      <c r="I15" s="55">
        <f t="shared" si="1"/>
        <v>850</v>
      </c>
      <c r="K15" s="56">
        <v>45292</v>
      </c>
      <c r="L15" s="57">
        <v>29829.23</v>
      </c>
      <c r="M15" s="57">
        <v>28559.06</v>
      </c>
      <c r="N15" s="55">
        <f t="shared" si="2"/>
        <v>58388.29</v>
      </c>
      <c r="P15" s="61">
        <v>45383</v>
      </c>
      <c r="Q15" s="62">
        <f t="shared" si="3"/>
        <v>183368</v>
      </c>
      <c r="R15" s="60"/>
      <c r="S15" s="61">
        <v>45383</v>
      </c>
      <c r="T15" s="62">
        <f t="shared" si="4"/>
        <v>116679.61</v>
      </c>
      <c r="V15" s="61">
        <v>45383</v>
      </c>
      <c r="W15" s="62">
        <f t="shared" si="5"/>
        <v>824</v>
      </c>
    </row>
    <row r="16" spans="1:23">
      <c r="A16" s="56">
        <v>45323</v>
      </c>
      <c r="B16" s="55">
        <v>97263</v>
      </c>
      <c r="C16" s="55">
        <v>102101</v>
      </c>
      <c r="D16" s="55">
        <f t="shared" si="0"/>
        <v>199364</v>
      </c>
      <c r="E16" s="49"/>
      <c r="F16" s="56">
        <v>45323</v>
      </c>
      <c r="G16" s="55">
        <v>370</v>
      </c>
      <c r="H16" s="55">
        <v>480</v>
      </c>
      <c r="I16" s="55">
        <f t="shared" si="1"/>
        <v>850</v>
      </c>
      <c r="K16" s="56">
        <v>45323</v>
      </c>
      <c r="L16" s="57">
        <v>28492.799999999999</v>
      </c>
      <c r="M16" s="57">
        <v>28211.59</v>
      </c>
      <c r="N16" s="55">
        <f t="shared" si="2"/>
        <v>56704.39</v>
      </c>
      <c r="P16" s="61">
        <v>45413</v>
      </c>
      <c r="Q16" s="62">
        <f t="shared" si="3"/>
        <v>160356</v>
      </c>
      <c r="R16" s="60"/>
      <c r="S16" s="61">
        <v>45413</v>
      </c>
      <c r="T16" s="62">
        <f t="shared" si="4"/>
        <v>188931.13</v>
      </c>
      <c r="V16" s="61">
        <v>45413</v>
      </c>
      <c r="W16" s="62">
        <f t="shared" si="5"/>
        <v>825</v>
      </c>
    </row>
    <row r="17" spans="1:23">
      <c r="A17" s="56">
        <v>45352</v>
      </c>
      <c r="B17" s="55">
        <v>95113</v>
      </c>
      <c r="C17" s="55">
        <v>99299</v>
      </c>
      <c r="D17" s="55">
        <f t="shared" si="0"/>
        <v>194412</v>
      </c>
      <c r="E17" s="49"/>
      <c r="F17" s="56">
        <v>45352</v>
      </c>
      <c r="G17" s="55">
        <v>369</v>
      </c>
      <c r="H17" s="55">
        <v>453</v>
      </c>
      <c r="I17" s="55">
        <f t="shared" si="1"/>
        <v>822</v>
      </c>
      <c r="K17" s="56">
        <v>45352</v>
      </c>
      <c r="L17" s="57">
        <v>32719.03</v>
      </c>
      <c r="M17" s="57">
        <v>36263.67</v>
      </c>
      <c r="N17" s="55">
        <f t="shared" si="2"/>
        <v>68982.7</v>
      </c>
      <c r="P17" s="61">
        <v>45444</v>
      </c>
      <c r="Q17" s="62">
        <f t="shared" si="3"/>
        <v>213498</v>
      </c>
      <c r="R17" s="60"/>
      <c r="S17" s="61">
        <v>45444</v>
      </c>
      <c r="T17" s="62">
        <f t="shared" si="4"/>
        <v>234964.33000000002</v>
      </c>
      <c r="V17" s="61">
        <v>45444</v>
      </c>
      <c r="W17" s="62">
        <f t="shared" si="5"/>
        <v>826</v>
      </c>
    </row>
    <row r="18" spans="1:23" ht="23.4" thickBot="1">
      <c r="A18" s="56">
        <v>45383</v>
      </c>
      <c r="B18" s="55">
        <v>87218</v>
      </c>
      <c r="C18" s="55">
        <v>96150</v>
      </c>
      <c r="D18" s="55">
        <f t="shared" si="0"/>
        <v>183368</v>
      </c>
      <c r="E18" s="49"/>
      <c r="F18" s="56">
        <v>45383</v>
      </c>
      <c r="G18" s="55">
        <v>370</v>
      </c>
      <c r="H18" s="55">
        <v>454</v>
      </c>
      <c r="I18" s="55">
        <f t="shared" si="1"/>
        <v>824</v>
      </c>
      <c r="K18" s="56">
        <v>45383</v>
      </c>
      <c r="L18" s="57">
        <v>55375.08</v>
      </c>
      <c r="M18" s="57">
        <v>61304.53</v>
      </c>
      <c r="N18" s="55">
        <f t="shared" si="2"/>
        <v>116679.61</v>
      </c>
      <c r="P18" s="63" t="s">
        <v>127</v>
      </c>
      <c r="Q18" s="64">
        <f>SUM(Q6:Q17)</f>
        <v>2704187</v>
      </c>
      <c r="R18" s="60"/>
      <c r="S18" s="63" t="s">
        <v>128</v>
      </c>
      <c r="T18" s="64">
        <f>SUM(T6:T17)</f>
        <v>1962093.2000000002</v>
      </c>
      <c r="V18" s="63" t="s">
        <v>129</v>
      </c>
      <c r="W18" s="64">
        <f>SUM(W6:W17)</f>
        <v>11490</v>
      </c>
    </row>
    <row r="19" spans="1:23">
      <c r="A19" s="56">
        <v>45413</v>
      </c>
      <c r="B19" s="55">
        <v>77746</v>
      </c>
      <c r="C19" s="55">
        <v>82610</v>
      </c>
      <c r="D19" s="55">
        <f t="shared" si="0"/>
        <v>160356</v>
      </c>
      <c r="E19" s="49"/>
      <c r="F19" s="56">
        <v>45413</v>
      </c>
      <c r="G19" s="55">
        <v>403</v>
      </c>
      <c r="H19" s="55">
        <v>422</v>
      </c>
      <c r="I19" s="55">
        <f t="shared" si="1"/>
        <v>825</v>
      </c>
      <c r="K19" s="56">
        <v>45413</v>
      </c>
      <c r="L19" s="57">
        <v>88462.33</v>
      </c>
      <c r="M19" s="57">
        <v>100468.8</v>
      </c>
      <c r="N19" s="55">
        <f t="shared" si="2"/>
        <v>188931.13</v>
      </c>
    </row>
    <row r="20" spans="1:23">
      <c r="A20" s="56">
        <v>45444</v>
      </c>
      <c r="B20" s="55">
        <v>109777</v>
      </c>
      <c r="C20" s="55">
        <v>103721</v>
      </c>
      <c r="D20" s="55">
        <f t="shared" si="0"/>
        <v>213498</v>
      </c>
      <c r="E20" s="49"/>
      <c r="F20" s="56">
        <v>45444</v>
      </c>
      <c r="G20" s="55">
        <v>404</v>
      </c>
      <c r="H20" s="55">
        <v>422</v>
      </c>
      <c r="I20" s="55">
        <f t="shared" si="1"/>
        <v>826</v>
      </c>
      <c r="K20" s="56">
        <v>45444</v>
      </c>
      <c r="L20" s="57">
        <v>121842.74</v>
      </c>
      <c r="M20" s="57">
        <v>113121.59</v>
      </c>
      <c r="N20" s="55">
        <f t="shared" si="2"/>
        <v>234964.33000000002</v>
      </c>
    </row>
    <row r="21" spans="1:23">
      <c r="A21" s="56">
        <v>45474</v>
      </c>
      <c r="B21" s="55">
        <v>155548</v>
      </c>
      <c r="C21" s="55">
        <v>150839</v>
      </c>
      <c r="D21" s="55">
        <f t="shared" si="0"/>
        <v>306387</v>
      </c>
      <c r="E21" s="49"/>
      <c r="F21" s="56">
        <v>45474</v>
      </c>
      <c r="G21" s="65"/>
      <c r="H21" s="65"/>
      <c r="I21" s="65"/>
      <c r="K21" s="56">
        <v>45474</v>
      </c>
      <c r="L21" s="57">
        <v>153098.25</v>
      </c>
      <c r="M21" s="57">
        <v>160167.35</v>
      </c>
      <c r="N21" s="55">
        <f t="shared" si="2"/>
        <v>313265.59999999998</v>
      </c>
    </row>
    <row r="22" spans="1:23">
      <c r="A22" s="56">
        <v>45505</v>
      </c>
      <c r="B22" s="55">
        <v>115568</v>
      </c>
      <c r="C22" s="55">
        <v>109794</v>
      </c>
      <c r="D22" s="55">
        <f t="shared" si="0"/>
        <v>225362</v>
      </c>
      <c r="E22" s="49"/>
      <c r="F22" s="56">
        <v>45505</v>
      </c>
      <c r="G22" s="65"/>
      <c r="H22" s="65"/>
      <c r="I22" s="65"/>
      <c r="K22" s="56">
        <v>45505</v>
      </c>
      <c r="L22" s="65"/>
      <c r="M22" s="65"/>
      <c r="N22" s="65"/>
    </row>
    <row r="23" spans="1:23">
      <c r="A23" s="56">
        <v>45536</v>
      </c>
      <c r="B23" s="55">
        <v>137560</v>
      </c>
      <c r="C23" s="55">
        <v>128355</v>
      </c>
      <c r="D23" s="55">
        <f t="shared" si="0"/>
        <v>265915</v>
      </c>
      <c r="E23" s="49"/>
      <c r="F23" s="56">
        <v>45536</v>
      </c>
      <c r="G23" s="65"/>
      <c r="H23" s="65"/>
      <c r="I23" s="65"/>
      <c r="K23" s="56">
        <v>45536</v>
      </c>
      <c r="L23" s="65"/>
      <c r="M23" s="65"/>
      <c r="N23" s="65"/>
    </row>
    <row r="24" spans="1:23">
      <c r="A24" s="56">
        <v>45566</v>
      </c>
      <c r="B24" s="65"/>
      <c r="C24" s="65"/>
      <c r="D24" s="65"/>
      <c r="E24" s="49"/>
      <c r="F24" s="56">
        <v>45566</v>
      </c>
      <c r="G24" s="65"/>
      <c r="H24" s="65"/>
      <c r="I24" s="65"/>
      <c r="K24" s="56">
        <v>45566</v>
      </c>
      <c r="L24" s="65"/>
      <c r="M24" s="65"/>
      <c r="N24" s="65"/>
    </row>
    <row r="25" spans="1:23">
      <c r="A25" s="56">
        <v>45597</v>
      </c>
      <c r="B25" s="65"/>
      <c r="C25" s="65"/>
      <c r="D25" s="65"/>
      <c r="E25" s="49"/>
      <c r="F25" s="56">
        <v>45597</v>
      </c>
      <c r="G25" s="65"/>
      <c r="H25" s="65"/>
      <c r="I25" s="65"/>
      <c r="K25" s="56">
        <v>45597</v>
      </c>
      <c r="L25" s="65"/>
      <c r="M25" s="65"/>
      <c r="N25" s="65"/>
    </row>
    <row r="26" spans="1:23">
      <c r="A26" s="56">
        <v>45627</v>
      </c>
      <c r="B26" s="55">
        <v>125459</v>
      </c>
      <c r="C26" s="55">
        <v>127958</v>
      </c>
      <c r="D26" s="55">
        <f t="shared" si="0"/>
        <v>253417</v>
      </c>
      <c r="E26" s="49"/>
      <c r="F26" s="56">
        <v>45627</v>
      </c>
      <c r="G26" s="65"/>
      <c r="H26" s="65"/>
      <c r="I26" s="65"/>
      <c r="K26" s="56">
        <v>45627</v>
      </c>
      <c r="L26" s="65"/>
      <c r="M26" s="65"/>
      <c r="N26" s="65"/>
    </row>
    <row r="27" spans="1:23">
      <c r="A27" s="56">
        <v>45658</v>
      </c>
      <c r="B27" s="55">
        <v>102491</v>
      </c>
      <c r="C27" s="55">
        <v>101366</v>
      </c>
      <c r="D27" s="55">
        <f t="shared" si="0"/>
        <v>203857</v>
      </c>
      <c r="E27" s="49"/>
      <c r="F27" s="56">
        <v>45658</v>
      </c>
      <c r="G27" s="65"/>
      <c r="H27" s="65"/>
      <c r="I27" s="65"/>
      <c r="K27" s="56">
        <v>45658</v>
      </c>
      <c r="L27" s="65"/>
      <c r="M27" s="65"/>
      <c r="N27" s="65"/>
    </row>
    <row r="28" spans="1:23">
      <c r="A28" s="56">
        <v>45689</v>
      </c>
      <c r="B28" s="55">
        <v>98601</v>
      </c>
      <c r="C28" s="55">
        <v>100569</v>
      </c>
      <c r="D28" s="55">
        <f t="shared" si="0"/>
        <v>199170</v>
      </c>
      <c r="E28" s="49"/>
      <c r="F28" s="56">
        <v>45689</v>
      </c>
      <c r="G28" s="65"/>
      <c r="H28" s="65"/>
      <c r="I28" s="65"/>
      <c r="K28" s="56">
        <v>45689</v>
      </c>
      <c r="L28" s="55">
        <v>8385.34</v>
      </c>
      <c r="M28" s="55">
        <v>7787.64</v>
      </c>
      <c r="N28" s="55">
        <f t="shared" si="2"/>
        <v>16172.98</v>
      </c>
    </row>
    <row r="29" spans="1:23">
      <c r="A29" s="56">
        <v>45717</v>
      </c>
      <c r="B29" s="55">
        <v>96374</v>
      </c>
      <c r="C29" s="55">
        <v>96538</v>
      </c>
      <c r="D29" s="55">
        <f t="shared" si="0"/>
        <v>192912</v>
      </c>
      <c r="E29" s="49"/>
      <c r="F29" s="56">
        <v>45717</v>
      </c>
      <c r="G29" s="65"/>
      <c r="H29" s="65"/>
      <c r="I29" s="65"/>
      <c r="K29" s="56">
        <v>45717</v>
      </c>
      <c r="L29" s="65"/>
      <c r="M29" s="65"/>
      <c r="N29" s="65"/>
    </row>
    <row r="30" spans="1:23">
      <c r="A30" s="56">
        <v>45748</v>
      </c>
      <c r="B30" s="55">
        <v>83200</v>
      </c>
      <c r="C30" s="55">
        <v>85765</v>
      </c>
      <c r="D30" s="55">
        <f t="shared" si="0"/>
        <v>168965</v>
      </c>
      <c r="E30" s="49"/>
      <c r="F30" s="56">
        <v>45748</v>
      </c>
      <c r="G30" s="65"/>
      <c r="H30" s="65"/>
      <c r="I30" s="65"/>
      <c r="K30" s="56">
        <v>45748</v>
      </c>
      <c r="L30" s="65"/>
      <c r="M30" s="65"/>
      <c r="N30" s="65"/>
    </row>
    <row r="31" spans="1:23">
      <c r="A31" s="56">
        <v>45778</v>
      </c>
      <c r="B31" s="65"/>
      <c r="C31" s="65"/>
      <c r="D31" s="65"/>
      <c r="F31" s="56">
        <v>45778</v>
      </c>
      <c r="G31" s="65"/>
      <c r="H31" s="65"/>
      <c r="I31" s="65"/>
      <c r="K31" s="56">
        <v>45778</v>
      </c>
      <c r="L31" s="65"/>
      <c r="M31" s="65"/>
      <c r="N31" s="65"/>
    </row>
    <row r="32" spans="1:23">
      <c r="A32" s="56">
        <v>45809</v>
      </c>
      <c r="B32" s="65"/>
      <c r="C32" s="65"/>
      <c r="D32" s="65"/>
      <c r="F32" s="56">
        <v>45809</v>
      </c>
      <c r="G32" s="65"/>
      <c r="H32" s="65"/>
      <c r="I32" s="65"/>
      <c r="K32" s="56">
        <v>45809</v>
      </c>
      <c r="L32" s="65"/>
      <c r="M32" s="65"/>
      <c r="N32" s="65"/>
    </row>
  </sheetData>
  <mergeCells count="12">
    <mergeCell ref="P4:Q4"/>
    <mergeCell ref="S4:T4"/>
    <mergeCell ref="V4:W4"/>
    <mergeCell ref="P5:Q5"/>
    <mergeCell ref="S5:T5"/>
    <mergeCell ref="V5:W5"/>
    <mergeCell ref="A1:A2"/>
    <mergeCell ref="B1:D1"/>
    <mergeCell ref="F1:F2"/>
    <mergeCell ref="G1:I1"/>
    <mergeCell ref="K1:K2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2023-2024</vt:lpstr>
      <vt:lpstr>Detailed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Magdy Hamed</dc:creator>
  <cp:lastModifiedBy>Mohammed Magdy Hamed</cp:lastModifiedBy>
  <cp:lastPrinted>2025-06-29T12:11:59Z</cp:lastPrinted>
  <dcterms:created xsi:type="dcterms:W3CDTF">2025-07-01T21:17:30Z</dcterms:created>
  <dcterms:modified xsi:type="dcterms:W3CDTF">2025-07-07T16:09:05Z</dcterms:modified>
</cp:coreProperties>
</file>